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its_DB" sheetId="1" r:id="rId4"/>
    <sheet state="visible" name="Top 10 Rankings" sheetId="2" r:id="rId5"/>
  </sheets>
  <definedNames>
    <definedName hidden="1" localSheetId="0" name="_xlnm._FilterDatabase">Fruits_DB!$A$3:$BV$54</definedName>
  </definedNames>
  <calcPr/>
  <extLst>
    <ext uri="GoogleSheetsCustomDataVersion2">
      <go:sheetsCustomData xmlns:go="http://customooxmlschemas.google.com/" r:id="rId6" roundtripDataChecksum="EuysVNxNGfX0oaElVrrpp2JtFOCLNsX7qEMYLwN9qTE="/>
    </ext>
  </extLst>
</workbook>
</file>

<file path=xl/sharedStrings.xml><?xml version="1.0" encoding="utf-8"?>
<sst xmlns="http://schemas.openxmlformats.org/spreadsheetml/2006/main" count="370" uniqueCount="260">
  <si>
    <t>🍎  FRUITS COMPLETE NUTRITION DATABASE  ·  All values per 100g  ·  Source: USDA FoodData + ICMR + Published Literature</t>
  </si>
  <si>
    <t>🆔  IDENTITY</t>
  </si>
  <si>
    <t>🍽️  MACRONUTRIENTS  ·  Calories, Carbs, Fats, Sugars (all types), Water, GI</t>
  </si>
  <si>
    <t>🧬  VITAMINS  (A to K2 + Choline)</t>
  </si>
  <si>
    <t>⛏️  MINERALS  (Ca, Fe, Mg, P, K, Na, Zn, Cu, Mn, Se, F, I, Cr)</t>
  </si>
  <si>
    <t>🌿  ANTIOXIDANTS &amp; PHYTONUTRIENTS</t>
  </si>
  <si>
    <t>💊  AMINO ACIDS  (Essential + Non-essential)</t>
  </si>
  <si>
    <t>ID</t>
  </si>
  <si>
    <t>Fruit Name</t>
  </si>
  <si>
    <t>Category</t>
  </si>
  <si>
    <t>Common Name /
Variety</t>
  </si>
  <si>
    <t>Per
(basis)</t>
  </si>
  <si>
    <t>Serving
g
(g)</t>
  </si>
  <si>
    <t>Calories
Energy
(kcal)</t>
  </si>
  <si>
    <t>Protein
(g)</t>
  </si>
  <si>
    <t>Total Carbs
(g)</t>
  </si>
  <si>
    <t>Total Fat
(g)</t>
  </si>
  <si>
    <t>Fiber
Dietary
(g)</t>
  </si>
  <si>
    <t>Total Sugar
(g)</t>
  </si>
  <si>
    <t>Free Sugar
(added eq)
(g)</t>
  </si>
  <si>
    <t>Fructose
(g)</t>
  </si>
  <si>
    <t>Glucose
(g)</t>
  </si>
  <si>
    <t>Sucrose
(g)</t>
  </si>
  <si>
    <t>Saturated Fat
(g)</t>
  </si>
  <si>
    <t>Mono Fat
MUFA
(g)</t>
  </si>
  <si>
    <t>Poly Fat
PUFA
(g)</t>
  </si>
  <si>
    <t>Omega-3
ALA
(mg)</t>
  </si>
  <si>
    <t>Omega-6
LA
(mg)</t>
  </si>
  <si>
    <t>Water
content
(g)</t>
  </si>
  <si>
    <t>GI
Glycemic Index</t>
  </si>
  <si>
    <t>Vitamin A
RAE
(mcg)</t>
  </si>
  <si>
    <t>β-Carotene
(mcg)</t>
  </si>
  <si>
    <t>Vitamin B1
Thiamine
(mg)</t>
  </si>
  <si>
    <t>Vitamin B2
Riboflavin
(mg)</t>
  </si>
  <si>
    <t>Vitamin B3
Niacin
(mg)</t>
  </si>
  <si>
    <t>Vitamin B5
Pantothenic
(mg)</t>
  </si>
  <si>
    <t>Vitamin B6
Pyridoxine
(mg)</t>
  </si>
  <si>
    <t>Vitamin B7
Biotin
(mcg)</t>
  </si>
  <si>
    <t>Vitamin B9
Folate
(mcg)</t>
  </si>
  <si>
    <t>Vitamin B12
(mcg)</t>
  </si>
  <si>
    <t>Vitamin C
Ascorbic
(mg)</t>
  </si>
  <si>
    <t>Vitamin D
D2+D3
(mcg)</t>
  </si>
  <si>
    <t>Vitamin E
α-Tocopherol
(mg)</t>
  </si>
  <si>
    <t>Vitamin K
K1
(mcg)</t>
  </si>
  <si>
    <t>Vitamin K2
MK-4
(mcg)</t>
  </si>
  <si>
    <t>Choline
(mg)</t>
  </si>
  <si>
    <t>Calcium
(mg)</t>
  </si>
  <si>
    <t>Iron
(mg)</t>
  </si>
  <si>
    <t>Magnesium
(mg)</t>
  </si>
  <si>
    <t>Phosphorus
(mg)</t>
  </si>
  <si>
    <t>Potassium
(mg)</t>
  </si>
  <si>
    <t>Sodium
(mg)</t>
  </si>
  <si>
    <t>Zinc
(mg)</t>
  </si>
  <si>
    <t>Copper
(mg)</t>
  </si>
  <si>
    <t>Manganese
(mg)</t>
  </si>
  <si>
    <t>Selenium
(mcg)</t>
  </si>
  <si>
    <t>Fluoride
(mcg)</t>
  </si>
  <si>
    <t>Iodine
(mcg)</t>
  </si>
  <si>
    <t>Chromium
(mcg)</t>
  </si>
  <si>
    <t>Lycopene
(mcg)</t>
  </si>
  <si>
    <t>Lutein+
Zeaxanthin
(mcg)</t>
  </si>
  <si>
    <t>Quercetin
(mg)</t>
  </si>
  <si>
    <t>Anthocyanins
(mg)</t>
  </si>
  <si>
    <t>Resveratrol
(mg)</t>
  </si>
  <si>
    <t>Total Polyphenols
(mg)</t>
  </si>
  <si>
    <t>ORAC
Antioxidant
(µmol)</t>
  </si>
  <si>
    <t>Tryptophan
(mg)</t>
  </si>
  <si>
    <t>Threonine
(mg)</t>
  </si>
  <si>
    <t>Isoleucine
(mg)</t>
  </si>
  <si>
    <t>Leucine
(mg)</t>
  </si>
  <si>
    <t>Lysine
(mg)</t>
  </si>
  <si>
    <t>Methionine
(mg)</t>
  </si>
  <si>
    <t>Phenylalanine
(mg)</t>
  </si>
  <si>
    <t>Valine
(mg)</t>
  </si>
  <si>
    <t>Histidine
(mg)</t>
  </si>
  <si>
    <t>Arginine
(mg)</t>
  </si>
  <si>
    <t>Glutamic Acid
(mg)</t>
  </si>
  <si>
    <t>Aspartic Acid
(mg)</t>
  </si>
  <si>
    <t>Glycine
(mg)</t>
  </si>
  <si>
    <t>Alanine
(mg)</t>
  </si>
  <si>
    <t>Proline
(mg)</t>
  </si>
  <si>
    <t>FR001</t>
  </si>
  <si>
    <t>Banana</t>
  </si>
  <si>
    <t>Tropical</t>
  </si>
  <si>
    <t>Cavendish</t>
  </si>
  <si>
    <t>per 100g</t>
  </si>
  <si>
    <t>FR002</t>
  </si>
  <si>
    <t>Mango</t>
  </si>
  <si>
    <t>Alphonso</t>
  </si>
  <si>
    <t>FR003</t>
  </si>
  <si>
    <t>Papaya</t>
  </si>
  <si>
    <t>Solo</t>
  </si>
  <si>
    <t>FR004</t>
  </si>
  <si>
    <t>Pineapple</t>
  </si>
  <si>
    <t>Queen</t>
  </si>
  <si>
    <t>FR005</t>
  </si>
  <si>
    <t>Guava</t>
  </si>
  <si>
    <t>Common</t>
  </si>
  <si>
    <t>FR006</t>
  </si>
  <si>
    <t>Jackfruit</t>
  </si>
  <si>
    <t>Kathal</t>
  </si>
  <si>
    <t>FR007</t>
  </si>
  <si>
    <t>Lychee</t>
  </si>
  <si>
    <t>Bombai</t>
  </si>
  <si>
    <t>FR008</t>
  </si>
  <si>
    <t>Coconut (fresh)</t>
  </si>
  <si>
    <t>Brown</t>
  </si>
  <si>
    <t>FR009</t>
  </si>
  <si>
    <t>Watermelon</t>
  </si>
  <si>
    <t>Sugar Baby</t>
  </si>
  <si>
    <t>FR010</t>
  </si>
  <si>
    <t>Pomegranate</t>
  </si>
  <si>
    <t>Wonderful</t>
  </si>
  <si>
    <t>FR011</t>
  </si>
  <si>
    <t>Kiwi</t>
  </si>
  <si>
    <t>Hayward</t>
  </si>
  <si>
    <t>FR012</t>
  </si>
  <si>
    <t>Dragon Fruit</t>
  </si>
  <si>
    <t>Red</t>
  </si>
  <si>
    <t>FR013</t>
  </si>
  <si>
    <t>Passion Fruit</t>
  </si>
  <si>
    <t>Purple</t>
  </si>
  <si>
    <t>FR014</t>
  </si>
  <si>
    <t>Star Fruit (Carambola)</t>
  </si>
  <si>
    <t>Averrhoa</t>
  </si>
  <si>
    <t>FR015</t>
  </si>
  <si>
    <t>Sapota (Chiku)</t>
  </si>
  <si>
    <t>Chickoo</t>
  </si>
  <si>
    <t>FR016</t>
  </si>
  <si>
    <t>Orange</t>
  </si>
  <si>
    <t>Citrus</t>
  </si>
  <si>
    <t>Navel</t>
  </si>
  <si>
    <t>FR017</t>
  </si>
  <si>
    <t>Lemon</t>
  </si>
  <si>
    <t>Eureka</t>
  </si>
  <si>
    <t>FR018</t>
  </si>
  <si>
    <t>Lime</t>
  </si>
  <si>
    <t>Persian</t>
  </si>
  <si>
    <t>FR019</t>
  </si>
  <si>
    <t>Grapefruit</t>
  </si>
  <si>
    <t>Ruby Red</t>
  </si>
  <si>
    <t>FR020</t>
  </si>
  <si>
    <t>Mandarin / Tangerine</t>
  </si>
  <si>
    <t>Kinnow</t>
  </si>
  <si>
    <t>FR021</t>
  </si>
  <si>
    <t>Sweetlime (Mosambi)</t>
  </si>
  <si>
    <t>Indian</t>
  </si>
  <si>
    <t>FR022</t>
  </si>
  <si>
    <t>Strawberry</t>
  </si>
  <si>
    <t>Berry</t>
  </si>
  <si>
    <t>Garden</t>
  </si>
  <si>
    <t>FR023</t>
  </si>
  <si>
    <t>Blueberry</t>
  </si>
  <si>
    <t>Highbush</t>
  </si>
  <si>
    <t>FR024</t>
  </si>
  <si>
    <t>Grapes (Black)</t>
  </si>
  <si>
    <t>Concord</t>
  </si>
  <si>
    <t>FR025</t>
  </si>
  <si>
    <t>Grapes (Green)</t>
  </si>
  <si>
    <t>Thompson</t>
  </si>
  <si>
    <t>FR026</t>
  </si>
  <si>
    <t>Amla (Indian Gooseberry)</t>
  </si>
  <si>
    <t>Emblica</t>
  </si>
  <si>
    <t>FR027</t>
  </si>
  <si>
    <t>Jamun (Black Plum)</t>
  </si>
  <si>
    <t>FR028</t>
  </si>
  <si>
    <t>Raspberries</t>
  </si>
  <si>
    <t>FR029</t>
  </si>
  <si>
    <t>Falsa (Grewia)</t>
  </si>
  <si>
    <t>FR030</t>
  </si>
  <si>
    <t>Mango (Totapuri)</t>
  </si>
  <si>
    <t>Drupe</t>
  </si>
  <si>
    <t>Raw Mango</t>
  </si>
  <si>
    <t>FR031</t>
  </si>
  <si>
    <t>Peach</t>
  </si>
  <si>
    <t>Yellow</t>
  </si>
  <si>
    <t>FR032</t>
  </si>
  <si>
    <t>Plum</t>
  </si>
  <si>
    <t>Black</t>
  </si>
  <si>
    <t>FR033</t>
  </si>
  <si>
    <t>Cherries (Sweet)</t>
  </si>
  <si>
    <t>Bing</t>
  </si>
  <si>
    <t>FR034</t>
  </si>
  <si>
    <t>Avocado</t>
  </si>
  <si>
    <t>Hass</t>
  </si>
  <si>
    <t>FR035</t>
  </si>
  <si>
    <t>Date (Fresh Medjool)</t>
  </si>
  <si>
    <t>Medjool</t>
  </si>
  <si>
    <t>FR036</t>
  </si>
  <si>
    <t>Apple (Red)</t>
  </si>
  <si>
    <t>Pome</t>
  </si>
  <si>
    <t>Red Delicious</t>
  </si>
  <si>
    <t>FR037</t>
  </si>
  <si>
    <t>Apple (Green)</t>
  </si>
  <si>
    <t>Granny Smith</t>
  </si>
  <si>
    <t>FR038</t>
  </si>
  <si>
    <t>Pear</t>
  </si>
  <si>
    <t>Bartlett</t>
  </si>
  <si>
    <t>FR039</t>
  </si>
  <si>
    <t>Quince</t>
  </si>
  <si>
    <t>FR040</t>
  </si>
  <si>
    <t>Muskmelon / Cantaloupe</t>
  </si>
  <si>
    <t>Melon</t>
  </si>
  <si>
    <t>Honeydew var</t>
  </si>
  <si>
    <t>FR041</t>
  </si>
  <si>
    <t>Honeydew Melon</t>
  </si>
  <si>
    <t>Green</t>
  </si>
  <si>
    <t>FR042</t>
  </si>
  <si>
    <t>Raisins (Kishmish)</t>
  </si>
  <si>
    <t>Dried</t>
  </si>
  <si>
    <t>FR043</t>
  </si>
  <si>
    <t>Figs (Dried)</t>
  </si>
  <si>
    <t>FR044</t>
  </si>
  <si>
    <t>Apricot (Dried)</t>
  </si>
  <si>
    <t>Turkish</t>
  </si>
  <si>
    <t>FR045</t>
  </si>
  <si>
    <t>Prunes (Dried Plum)</t>
  </si>
  <si>
    <t>California</t>
  </si>
  <si>
    <t>FR046</t>
  </si>
  <si>
    <t>Tamarind</t>
  </si>
  <si>
    <t>Other</t>
  </si>
  <si>
    <t>FR047</t>
  </si>
  <si>
    <t>Ber (Indian Jujube)</t>
  </si>
  <si>
    <t>Ziziphus</t>
  </si>
  <si>
    <t>FR048</t>
  </si>
  <si>
    <t>Custard Apple (Sitaphal)</t>
  </si>
  <si>
    <t>Annona</t>
  </si>
  <si>
    <t>FR049</t>
  </si>
  <si>
    <t>Jamrool (Rose Apple)</t>
  </si>
  <si>
    <t>Syzygium</t>
  </si>
  <si>
    <t>FR050</t>
  </si>
  <si>
    <t>Mulberry</t>
  </si>
  <si>
    <t>FR051</t>
  </si>
  <si>
    <t>Jackfruit Seeds</t>
  </si>
  <si>
    <t>Edible Seeds</t>
  </si>
  <si>
    <t>🏆  TOP RANKINGS  ·  Auto-calculated from Fruits_DB</t>
  </si>
  <si>
    <t>Fruit</t>
  </si>
  <si>
    <t>Value</t>
  </si>
  <si>
    <t>Unit</t>
  </si>
  <si>
    <t>Highest Vitamin C</t>
  </si>
  <si>
    <t>mg/100g</t>
  </si>
  <si>
    <t>Lowest Calories</t>
  </si>
  <si>
    <t>kcal</t>
  </si>
  <si>
    <t>Highest Calories</t>
  </si>
  <si>
    <t>Highest Fiber</t>
  </si>
  <si>
    <t>g/100g</t>
  </si>
  <si>
    <t>Highest Protein</t>
  </si>
  <si>
    <t>Highest Potassium</t>
  </si>
  <si>
    <t>Highest Iron</t>
  </si>
  <si>
    <t>Highest Total Sugar</t>
  </si>
  <si>
    <t>Lowest Sugar</t>
  </si>
  <si>
    <t>Highest Antioxidant (ORAC)</t>
  </si>
  <si>
    <t>µmol TE</t>
  </si>
  <si>
    <t>Highest Vitamin A</t>
  </si>
  <si>
    <t>mcg RAE</t>
  </si>
  <si>
    <t>Lowest GI</t>
  </si>
  <si>
    <t>—</t>
  </si>
  <si>
    <t>GI score</t>
  </si>
  <si>
    <t>Highest Calcium</t>
  </si>
  <si>
    <t>Highest Magnesium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</si>
</sst>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9.0"/>
      <color rgb="FF3DFFA0"/>
      <name val="Arial"/>
    </font>
    <font>
      <b/>
      <sz val="9.0"/>
      <color rgb="FF7DD3FC"/>
      <name val="Arial"/>
    </font>
    <font>
      <b/>
      <sz val="9.0"/>
      <color rgb="FFC4B5FD"/>
      <name val="Arial"/>
    </font>
    <font>
      <b/>
      <sz val="9.0"/>
      <color rgb="FF6EE7B7"/>
      <name val="Arial"/>
    </font>
    <font>
      <b/>
      <sz val="9.0"/>
      <color rgb="FFFCD34D"/>
      <name val="Arial"/>
    </font>
    <font>
      <b/>
      <sz val="9.0"/>
      <color rgb="FFFCA5A5"/>
      <name val="Arial"/>
    </font>
    <font>
      <b/>
      <sz val="8.0"/>
      <color rgb="FF3DFFA0"/>
      <name val="Arial"/>
    </font>
    <font>
      <b/>
      <sz val="8.0"/>
      <color rgb="FF7DD3FC"/>
      <name val="Arial"/>
    </font>
    <font>
      <b/>
      <sz val="8.0"/>
      <color rgb="FFC4B5FD"/>
      <name val="Arial"/>
    </font>
    <font>
      <b/>
      <sz val="8.0"/>
      <color rgb="FF6EE7B7"/>
      <name val="Arial"/>
    </font>
    <font>
      <b/>
      <sz val="8.0"/>
      <color rgb="FFFCD34D"/>
      <name val="Arial"/>
    </font>
    <font>
      <b/>
      <sz val="8.0"/>
      <color rgb="FFFCA5A5"/>
      <name val="Arial"/>
    </font>
    <font>
      <sz val="9.0"/>
      <color rgb="FF111111"/>
      <name val="Arial"/>
    </font>
    <font>
      <b/>
      <sz val="10.0"/>
      <color rgb="FF0D2010"/>
      <name val="Arial"/>
    </font>
    <font>
      <b/>
      <sz val="11.0"/>
      <color rgb="FFFFFFFF"/>
      <name val="Arial"/>
    </font>
    <font>
      <b/>
      <sz val="10.0"/>
      <color rgb="FF111111"/>
      <name val="Arial"/>
    </font>
    <font>
      <sz val="10.0"/>
      <color rgb="FF11111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F2518"/>
        <bgColor rgb="FF0F2518"/>
      </patternFill>
    </fill>
    <fill>
      <patternFill patternType="solid">
        <fgColor rgb="FF1A3A2A"/>
        <bgColor rgb="FF1A3A2A"/>
      </patternFill>
    </fill>
    <fill>
      <patternFill patternType="solid">
        <fgColor rgb="FF1A2F4A"/>
        <bgColor rgb="FF1A2F4A"/>
      </patternFill>
    </fill>
    <fill>
      <patternFill patternType="solid">
        <fgColor rgb="FF2A1F4A"/>
        <bgColor rgb="FF2A1F4A"/>
      </patternFill>
    </fill>
    <fill>
      <patternFill patternType="solid">
        <fgColor rgb="FF1A3333"/>
        <bgColor rgb="FF1A3333"/>
      </patternFill>
    </fill>
    <fill>
      <patternFill patternType="solid">
        <fgColor rgb="FF3A2A0A"/>
        <bgColor rgb="FF3A2A0A"/>
      </patternFill>
    </fill>
    <fill>
      <patternFill patternType="solid">
        <fgColor rgb="FF3A1A1A"/>
        <bgColor rgb="FF3A1A1A"/>
      </patternFill>
    </fill>
    <fill>
      <patternFill patternType="solid">
        <fgColor rgb="FFFFFBEB"/>
        <bgColor rgb="FFFFFBEB"/>
      </patternFill>
    </fill>
    <fill>
      <patternFill patternType="solid">
        <fgColor rgb="FFFFF7F0"/>
        <bgColor rgb="FFFFF7F0"/>
      </patternFill>
    </fill>
    <fill>
      <patternFill patternType="solid">
        <fgColor rgb="FFFFF0F9"/>
        <bgColor rgb="FFFFF0F9"/>
      </patternFill>
    </fill>
    <fill>
      <patternFill patternType="solid">
        <fgColor rgb="FFF0F4FF"/>
        <bgColor rgb="FFF0F4FF"/>
      </patternFill>
    </fill>
    <fill>
      <patternFill patternType="solid">
        <fgColor rgb="FFF0FFF4"/>
        <bgColor rgb="FFF0FFF4"/>
      </patternFill>
    </fill>
    <fill>
      <patternFill patternType="solid">
        <fgColor rgb="FFF0FFFE"/>
        <bgColor rgb="FFF0FFFE"/>
      </patternFill>
    </fill>
    <fill>
      <patternFill patternType="solid">
        <fgColor rgb="FFFFF5E0"/>
        <bgColor rgb="FFFFF5E0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EAF4EE"/>
        <bgColor rgb="FFEAF4E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top style="thin">
        <color rgb="FFBBBBBB"/>
      </top>
      <bottom style="medium">
        <color rgb="FF888888"/>
      </bottom>
    </border>
    <border>
      <top style="thin">
        <color rgb="FFBBBBBB"/>
      </top>
      <bottom style="medium">
        <color rgb="FF888888"/>
      </bottom>
    </border>
    <border>
      <right style="thin">
        <color rgb="FFBBBBBB"/>
      </right>
      <top style="thin">
        <color rgb="FFBBBBBB"/>
      </top>
      <bottom style="medium">
        <color rgb="FF888888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4" fillId="4" fontId="4" numFmtId="0" xfId="0" applyAlignment="1" applyBorder="1" applyFill="1" applyFont="1">
      <alignment horizontal="left" vertical="center"/>
    </xf>
    <xf borderId="4" fillId="5" fontId="5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left" vertical="center"/>
    </xf>
    <xf borderId="4" fillId="7" fontId="7" numFmtId="0" xfId="0" applyAlignment="1" applyBorder="1" applyFill="1" applyFont="1">
      <alignment horizontal="left" vertical="center"/>
    </xf>
    <xf borderId="4" fillId="8" fontId="8" numFmtId="0" xfId="0" applyAlignment="1" applyBorder="1" applyFill="1" applyFont="1">
      <alignment horizontal="left" vertical="center"/>
    </xf>
    <xf borderId="7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7" fillId="5" fontId="11" numFmtId="0" xfId="0" applyAlignment="1" applyBorder="1" applyFont="1">
      <alignment horizontal="center" shrinkToFit="0" vertical="center" wrapText="1"/>
    </xf>
    <xf borderId="7" fillId="6" fontId="12" numFmtId="0" xfId="0" applyAlignment="1" applyBorder="1" applyFont="1">
      <alignment horizontal="center" shrinkToFit="0" vertical="center" wrapText="1"/>
    </xf>
    <xf borderId="7" fillId="7" fontId="13" numFmtId="0" xfId="0" applyAlignment="1" applyBorder="1" applyFont="1">
      <alignment horizontal="center" shrinkToFit="0" vertical="center" wrapText="1"/>
    </xf>
    <xf borderId="7" fillId="8" fontId="14" numFmtId="0" xfId="0" applyAlignment="1" applyBorder="1" applyFont="1">
      <alignment horizontal="center" shrinkToFit="0" vertical="center" wrapText="1"/>
    </xf>
    <xf borderId="7" fillId="9" fontId="15" numFmtId="0" xfId="0" applyAlignment="1" applyBorder="1" applyFill="1" applyFont="1">
      <alignment horizontal="left" vertical="center"/>
    </xf>
    <xf borderId="7" fillId="9" fontId="16" numFmtId="0" xfId="0" applyAlignment="1" applyBorder="1" applyFont="1">
      <alignment horizontal="left" vertical="center"/>
    </xf>
    <xf borderId="7" fillId="9" fontId="15" numFmtId="0" xfId="0" applyAlignment="1" applyBorder="1" applyFont="1">
      <alignment horizontal="center" vertical="center"/>
    </xf>
    <xf borderId="7" fillId="9" fontId="15" numFmtId="2" xfId="0" applyAlignment="1" applyBorder="1" applyFont="1" applyNumberFormat="1">
      <alignment horizontal="center" vertical="center"/>
    </xf>
    <xf borderId="7" fillId="9" fontId="15" numFmtId="1" xfId="0" applyAlignment="1" applyBorder="1" applyFont="1" applyNumberFormat="1">
      <alignment horizontal="center" vertical="center"/>
    </xf>
    <xf borderId="7" fillId="10" fontId="15" numFmtId="0" xfId="0" applyAlignment="1" applyBorder="1" applyFill="1" applyFont="1">
      <alignment horizontal="left" vertical="center"/>
    </xf>
    <xf borderId="7" fillId="10" fontId="16" numFmtId="0" xfId="0" applyAlignment="1" applyBorder="1" applyFont="1">
      <alignment horizontal="left" vertical="center"/>
    </xf>
    <xf borderId="7" fillId="10" fontId="15" numFmtId="0" xfId="0" applyAlignment="1" applyBorder="1" applyFont="1">
      <alignment horizontal="center" vertical="center"/>
    </xf>
    <xf borderId="7" fillId="10" fontId="15" numFmtId="2" xfId="0" applyAlignment="1" applyBorder="1" applyFont="1" applyNumberFormat="1">
      <alignment horizontal="center" vertical="center"/>
    </xf>
    <xf borderId="7" fillId="10" fontId="15" numFmtId="1" xfId="0" applyAlignment="1" applyBorder="1" applyFont="1" applyNumberFormat="1">
      <alignment horizontal="center" vertical="center"/>
    </xf>
    <xf borderId="7" fillId="11" fontId="15" numFmtId="0" xfId="0" applyAlignment="1" applyBorder="1" applyFill="1" applyFont="1">
      <alignment horizontal="left" vertical="center"/>
    </xf>
    <xf borderId="7" fillId="11" fontId="16" numFmtId="0" xfId="0" applyAlignment="1" applyBorder="1" applyFont="1">
      <alignment horizontal="left" vertical="center"/>
    </xf>
    <xf borderId="7" fillId="11" fontId="15" numFmtId="0" xfId="0" applyAlignment="1" applyBorder="1" applyFont="1">
      <alignment horizontal="center" vertical="center"/>
    </xf>
    <xf borderId="7" fillId="11" fontId="15" numFmtId="2" xfId="0" applyAlignment="1" applyBorder="1" applyFont="1" applyNumberFormat="1">
      <alignment horizontal="center" vertical="center"/>
    </xf>
    <xf borderId="7" fillId="11" fontId="15" numFmtId="1" xfId="0" applyAlignment="1" applyBorder="1" applyFont="1" applyNumberFormat="1">
      <alignment horizontal="center" vertical="center"/>
    </xf>
    <xf borderId="7" fillId="12" fontId="15" numFmtId="0" xfId="0" applyAlignment="1" applyBorder="1" applyFill="1" applyFont="1">
      <alignment horizontal="left" vertical="center"/>
    </xf>
    <xf borderId="7" fillId="12" fontId="16" numFmtId="0" xfId="0" applyAlignment="1" applyBorder="1" applyFont="1">
      <alignment horizontal="left" vertical="center"/>
    </xf>
    <xf borderId="7" fillId="12" fontId="15" numFmtId="0" xfId="0" applyAlignment="1" applyBorder="1" applyFont="1">
      <alignment horizontal="center" vertical="center"/>
    </xf>
    <xf borderId="7" fillId="12" fontId="15" numFmtId="2" xfId="0" applyAlignment="1" applyBorder="1" applyFont="1" applyNumberFormat="1">
      <alignment horizontal="center" vertical="center"/>
    </xf>
    <xf borderId="7" fillId="12" fontId="15" numFmtId="1" xfId="0" applyAlignment="1" applyBorder="1" applyFont="1" applyNumberFormat="1">
      <alignment horizontal="center" vertical="center"/>
    </xf>
    <xf borderId="7" fillId="13" fontId="15" numFmtId="0" xfId="0" applyAlignment="1" applyBorder="1" applyFill="1" applyFont="1">
      <alignment horizontal="left" vertical="center"/>
    </xf>
    <xf borderId="7" fillId="13" fontId="16" numFmtId="0" xfId="0" applyAlignment="1" applyBorder="1" applyFont="1">
      <alignment horizontal="left" vertical="center"/>
    </xf>
    <xf borderId="7" fillId="13" fontId="15" numFmtId="0" xfId="0" applyAlignment="1" applyBorder="1" applyFont="1">
      <alignment horizontal="center" vertical="center"/>
    </xf>
    <xf borderId="7" fillId="13" fontId="15" numFmtId="2" xfId="0" applyAlignment="1" applyBorder="1" applyFont="1" applyNumberFormat="1">
      <alignment horizontal="center" vertical="center"/>
    </xf>
    <xf borderId="7" fillId="13" fontId="15" numFmtId="1" xfId="0" applyAlignment="1" applyBorder="1" applyFont="1" applyNumberFormat="1">
      <alignment horizontal="center" vertical="center"/>
    </xf>
    <xf borderId="7" fillId="14" fontId="15" numFmtId="0" xfId="0" applyAlignment="1" applyBorder="1" applyFill="1" applyFont="1">
      <alignment horizontal="left" vertical="center"/>
    </xf>
    <xf borderId="7" fillId="14" fontId="16" numFmtId="0" xfId="0" applyAlignment="1" applyBorder="1" applyFont="1">
      <alignment horizontal="left" vertical="center"/>
    </xf>
    <xf borderId="7" fillId="14" fontId="15" numFmtId="0" xfId="0" applyAlignment="1" applyBorder="1" applyFont="1">
      <alignment horizontal="center" vertical="center"/>
    </xf>
    <xf borderId="7" fillId="14" fontId="15" numFmtId="2" xfId="0" applyAlignment="1" applyBorder="1" applyFont="1" applyNumberFormat="1">
      <alignment horizontal="center" vertical="center"/>
    </xf>
    <xf borderId="7" fillId="14" fontId="15" numFmtId="1" xfId="0" applyAlignment="1" applyBorder="1" applyFont="1" applyNumberFormat="1">
      <alignment horizontal="center" vertical="center"/>
    </xf>
    <xf borderId="7" fillId="15" fontId="15" numFmtId="0" xfId="0" applyAlignment="1" applyBorder="1" applyFill="1" applyFont="1">
      <alignment horizontal="left" vertical="center"/>
    </xf>
    <xf borderId="7" fillId="15" fontId="16" numFmtId="0" xfId="0" applyAlignment="1" applyBorder="1" applyFont="1">
      <alignment horizontal="left" vertical="center"/>
    </xf>
    <xf borderId="7" fillId="15" fontId="15" numFmtId="0" xfId="0" applyAlignment="1" applyBorder="1" applyFont="1">
      <alignment horizontal="center" vertical="center"/>
    </xf>
    <xf borderId="7" fillId="15" fontId="15" numFmtId="2" xfId="0" applyAlignment="1" applyBorder="1" applyFont="1" applyNumberFormat="1">
      <alignment horizontal="center" vertical="center"/>
    </xf>
    <xf borderId="7" fillId="15" fontId="15" numFmtId="1" xfId="0" applyAlignment="1" applyBorder="1" applyFont="1" applyNumberFormat="1">
      <alignment horizontal="center" vertical="center"/>
    </xf>
    <xf borderId="7" fillId="16" fontId="15" numFmtId="0" xfId="0" applyAlignment="1" applyBorder="1" applyFill="1" applyFont="1">
      <alignment horizontal="left" vertical="center"/>
    </xf>
    <xf borderId="7" fillId="16" fontId="16" numFmtId="0" xfId="0" applyAlignment="1" applyBorder="1" applyFont="1">
      <alignment horizontal="left" vertical="center"/>
    </xf>
    <xf borderId="7" fillId="16" fontId="15" numFmtId="0" xfId="0" applyAlignment="1" applyBorder="1" applyFont="1">
      <alignment horizontal="center" vertical="center"/>
    </xf>
    <xf borderId="7" fillId="16" fontId="15" numFmtId="2" xfId="0" applyAlignment="1" applyBorder="1" applyFont="1" applyNumberFormat="1">
      <alignment horizontal="center" vertical="center"/>
    </xf>
    <xf borderId="7" fillId="16" fontId="15" numFmtId="1" xfId="0" applyAlignment="1" applyBorder="1" applyFont="1" applyNumberFormat="1">
      <alignment horizontal="center" vertical="center"/>
    </xf>
    <xf borderId="1" fillId="2" fontId="17" numFmtId="0" xfId="0" applyAlignment="1" applyBorder="1" applyFont="1">
      <alignment horizontal="center" vertical="center"/>
    </xf>
    <xf borderId="7" fillId="3" fontId="3" numFmtId="0" xfId="0" applyAlignment="1" applyBorder="1" applyFont="1">
      <alignment horizontal="center" vertical="center"/>
    </xf>
    <xf borderId="7" fillId="17" fontId="18" numFmtId="0" xfId="0" applyAlignment="1" applyBorder="1" applyFill="1" applyFont="1">
      <alignment horizontal="left" vertical="center"/>
    </xf>
    <xf borderId="7" fillId="17" fontId="19" numFmtId="0" xfId="0" applyAlignment="1" applyBorder="1" applyFont="1">
      <alignment horizontal="left" vertical="center"/>
    </xf>
    <xf borderId="7" fillId="17" fontId="19" numFmtId="2" xfId="0" applyAlignment="1" applyBorder="1" applyFont="1" applyNumberFormat="1">
      <alignment horizontal="center" vertical="center"/>
    </xf>
    <xf borderId="7" fillId="17" fontId="19" numFmtId="0" xfId="0" applyAlignment="1" applyBorder="1" applyFont="1">
      <alignment horizontal="center" vertical="center"/>
    </xf>
    <xf borderId="7" fillId="18" fontId="18" numFmtId="0" xfId="0" applyAlignment="1" applyBorder="1" applyFill="1" applyFont="1">
      <alignment horizontal="left" vertical="center"/>
    </xf>
    <xf borderId="7" fillId="18" fontId="19" numFmtId="0" xfId="0" applyAlignment="1" applyBorder="1" applyFont="1">
      <alignment horizontal="left" vertical="center"/>
    </xf>
    <xf borderId="7" fillId="18" fontId="19" numFmtId="2" xfId="0" applyAlignment="1" applyBorder="1" applyFont="1" applyNumberFormat="1">
      <alignment horizontal="center" vertical="center"/>
    </xf>
    <xf borderId="7" fillId="18" fontId="1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4" width="16.0"/>
    <col customWidth="1" min="5" max="5" width="12.0"/>
    <col customWidth="1" min="6" max="6" width="8.0"/>
    <col customWidth="1" min="7" max="7" width="9.0"/>
    <col customWidth="1" min="8" max="8" width="8.0"/>
    <col customWidth="1" min="9" max="9" width="9.0"/>
    <col customWidth="1" min="10" max="11" width="8.0"/>
    <col customWidth="1" min="12" max="17" width="9.0"/>
    <col customWidth="1" min="18" max="19" width="8.0"/>
    <col customWidth="1" min="20" max="22" width="9.0"/>
    <col customWidth="1" min="23" max="23" width="8.0"/>
    <col customWidth="1" min="24" max="74" width="9.0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3"/>
    </row>
    <row r="2" ht="31.5" customHeight="1">
      <c r="A2" s="4" t="s">
        <v>1</v>
      </c>
      <c r="B2" s="5"/>
      <c r="C2" s="5"/>
      <c r="D2" s="5"/>
      <c r="E2" s="5"/>
      <c r="F2" s="6"/>
      <c r="G2" s="7" t="s">
        <v>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8" t="s">
        <v>3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6"/>
      <c r="AO2" s="9" t="s">
        <v>4</v>
      </c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6"/>
      <c r="BB2" s="10" t="s">
        <v>5</v>
      </c>
      <c r="BC2" s="5"/>
      <c r="BD2" s="5"/>
      <c r="BE2" s="5"/>
      <c r="BF2" s="5"/>
      <c r="BG2" s="5"/>
      <c r="BH2" s="6"/>
      <c r="BI2" s="11" t="s">
        <v>6</v>
      </c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6"/>
    </row>
    <row r="3" ht="21.75" customHeight="1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3" t="s">
        <v>13</v>
      </c>
      <c r="H3" s="13" t="s">
        <v>14</v>
      </c>
      <c r="I3" s="13" t="s">
        <v>15</v>
      </c>
      <c r="J3" s="13" t="s">
        <v>16</v>
      </c>
      <c r="K3" s="13" t="s">
        <v>17</v>
      </c>
      <c r="L3" s="13" t="s">
        <v>18</v>
      </c>
      <c r="M3" s="13" t="s">
        <v>19</v>
      </c>
      <c r="N3" s="13" t="s">
        <v>20</v>
      </c>
      <c r="O3" s="13" t="s">
        <v>21</v>
      </c>
      <c r="P3" s="13" t="s">
        <v>22</v>
      </c>
      <c r="Q3" s="13" t="s">
        <v>23</v>
      </c>
      <c r="R3" s="13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4" t="s">
        <v>30</v>
      </c>
      <c r="Y3" s="14" t="s">
        <v>31</v>
      </c>
      <c r="Z3" s="14" t="s">
        <v>32</v>
      </c>
      <c r="AA3" s="14" t="s">
        <v>33</v>
      </c>
      <c r="AB3" s="14" t="s">
        <v>34</v>
      </c>
      <c r="AC3" s="14" t="s">
        <v>35</v>
      </c>
      <c r="AD3" s="14" t="s">
        <v>36</v>
      </c>
      <c r="AE3" s="14" t="s">
        <v>37</v>
      </c>
      <c r="AF3" s="14" t="s">
        <v>38</v>
      </c>
      <c r="AG3" s="14" t="s">
        <v>39</v>
      </c>
      <c r="AH3" s="14" t="s">
        <v>40</v>
      </c>
      <c r="AI3" s="14" t="s">
        <v>41</v>
      </c>
      <c r="AJ3" s="14" t="s">
        <v>42</v>
      </c>
      <c r="AK3" s="14" t="s">
        <v>43</v>
      </c>
      <c r="AL3" s="14" t="s">
        <v>44</v>
      </c>
      <c r="AM3" s="14" t="s">
        <v>45</v>
      </c>
      <c r="AN3" s="15" t="s">
        <v>46</v>
      </c>
      <c r="AO3" s="15" t="s">
        <v>47</v>
      </c>
      <c r="AP3" s="15" t="s">
        <v>48</v>
      </c>
      <c r="AQ3" s="15" t="s">
        <v>49</v>
      </c>
      <c r="AR3" s="15" t="s">
        <v>50</v>
      </c>
      <c r="AS3" s="15" t="s">
        <v>51</v>
      </c>
      <c r="AT3" s="15" t="s">
        <v>52</v>
      </c>
      <c r="AU3" s="15" t="s">
        <v>53</v>
      </c>
      <c r="AV3" s="15" t="s">
        <v>54</v>
      </c>
      <c r="AW3" s="15" t="s">
        <v>55</v>
      </c>
      <c r="AX3" s="15" t="s">
        <v>56</v>
      </c>
      <c r="AY3" s="15" t="s">
        <v>57</v>
      </c>
      <c r="AZ3" s="15" t="s">
        <v>58</v>
      </c>
      <c r="BA3" s="16" t="s">
        <v>59</v>
      </c>
      <c r="BB3" s="16" t="s">
        <v>60</v>
      </c>
      <c r="BC3" s="16" t="s">
        <v>61</v>
      </c>
      <c r="BD3" s="16" t="s">
        <v>62</v>
      </c>
      <c r="BE3" s="16" t="s">
        <v>63</v>
      </c>
      <c r="BF3" s="16" t="s">
        <v>64</v>
      </c>
      <c r="BG3" s="16" t="s">
        <v>65</v>
      </c>
      <c r="BH3" s="17" t="s">
        <v>66</v>
      </c>
      <c r="BI3" s="17" t="s">
        <v>67</v>
      </c>
      <c r="BJ3" s="17" t="s">
        <v>68</v>
      </c>
      <c r="BK3" s="17" t="s">
        <v>69</v>
      </c>
      <c r="BL3" s="17" t="s">
        <v>70</v>
      </c>
      <c r="BM3" s="17" t="s">
        <v>71</v>
      </c>
      <c r="BN3" s="17" t="s">
        <v>72</v>
      </c>
      <c r="BO3" s="17" t="s">
        <v>73</v>
      </c>
      <c r="BP3" s="17" t="s">
        <v>74</v>
      </c>
      <c r="BQ3" s="17" t="s">
        <v>75</v>
      </c>
      <c r="BR3" s="17" t="s">
        <v>76</v>
      </c>
      <c r="BS3" s="17" t="s">
        <v>77</v>
      </c>
      <c r="BT3" s="17" t="s">
        <v>78</v>
      </c>
      <c r="BU3" s="17" t="s">
        <v>79</v>
      </c>
      <c r="BV3" s="17" t="s">
        <v>80</v>
      </c>
    </row>
    <row r="4" ht="15.75" customHeight="1">
      <c r="A4" s="18" t="s">
        <v>81</v>
      </c>
      <c r="B4" s="19" t="s">
        <v>82</v>
      </c>
      <c r="C4" s="18" t="s">
        <v>83</v>
      </c>
      <c r="D4" s="18" t="s">
        <v>84</v>
      </c>
      <c r="E4" s="20" t="s">
        <v>85</v>
      </c>
      <c r="F4" s="20">
        <v>100.0</v>
      </c>
      <c r="G4" s="21">
        <v>89.0</v>
      </c>
      <c r="H4" s="21">
        <v>1.1</v>
      </c>
      <c r="I4" s="21">
        <v>22.8</v>
      </c>
      <c r="J4" s="21">
        <v>0.3</v>
      </c>
      <c r="K4" s="21">
        <v>2.6</v>
      </c>
      <c r="L4" s="21">
        <v>12.2</v>
      </c>
      <c r="M4" s="21">
        <v>0.0</v>
      </c>
      <c r="N4" s="21">
        <v>4.9</v>
      </c>
      <c r="O4" s="21">
        <v>5.0</v>
      </c>
      <c r="P4" s="21">
        <v>2.4</v>
      </c>
      <c r="Q4" s="21">
        <v>0.1</v>
      </c>
      <c r="R4" s="21">
        <v>0.03</v>
      </c>
      <c r="S4" s="21">
        <v>0.06</v>
      </c>
      <c r="T4" s="21">
        <v>27.0</v>
      </c>
      <c r="U4" s="21">
        <v>47.0</v>
      </c>
      <c r="V4" s="21">
        <v>74.0</v>
      </c>
      <c r="W4" s="22">
        <v>51.0</v>
      </c>
      <c r="X4" s="21">
        <v>3.0</v>
      </c>
      <c r="Y4" s="21">
        <v>26.0</v>
      </c>
      <c r="Z4" s="21">
        <v>0.031</v>
      </c>
      <c r="AA4" s="21">
        <v>0.073</v>
      </c>
      <c r="AB4" s="21">
        <v>0.665</v>
      </c>
      <c r="AC4" s="21">
        <v>0.334</v>
      </c>
      <c r="AD4" s="21">
        <v>0.367</v>
      </c>
      <c r="AE4" s="21">
        <v>0.2</v>
      </c>
      <c r="AF4" s="21">
        <v>20.0</v>
      </c>
      <c r="AG4" s="21">
        <v>0.0</v>
      </c>
      <c r="AH4" s="21">
        <v>8.7</v>
      </c>
      <c r="AI4" s="21">
        <v>0.0</v>
      </c>
      <c r="AJ4" s="21">
        <v>0.1</v>
      </c>
      <c r="AK4" s="21">
        <v>0.5</v>
      </c>
      <c r="AL4" s="21">
        <v>0.0</v>
      </c>
      <c r="AM4" s="21">
        <v>9.8</v>
      </c>
      <c r="AN4" s="21">
        <v>5.0</v>
      </c>
      <c r="AO4" s="21">
        <v>0.26</v>
      </c>
      <c r="AP4" s="21">
        <v>27.0</v>
      </c>
      <c r="AQ4" s="21">
        <v>22.0</v>
      </c>
      <c r="AR4" s="21">
        <v>358.0</v>
      </c>
      <c r="AS4" s="21">
        <v>1.0</v>
      </c>
      <c r="AT4" s="21">
        <v>0.15</v>
      </c>
      <c r="AU4" s="21">
        <v>0.078</v>
      </c>
      <c r="AV4" s="21">
        <v>0.27</v>
      </c>
      <c r="AW4" s="21">
        <v>1.0</v>
      </c>
      <c r="AX4" s="21">
        <v>2.2</v>
      </c>
      <c r="AY4" s="21">
        <v>1.0</v>
      </c>
      <c r="AZ4" s="21">
        <v>0.5</v>
      </c>
      <c r="BA4" s="21">
        <v>0.0</v>
      </c>
      <c r="BB4" s="21">
        <v>22.0</v>
      </c>
      <c r="BC4" s="21">
        <v>0.1</v>
      </c>
      <c r="BD4" s="21">
        <v>0.0</v>
      </c>
      <c r="BE4" s="21">
        <v>0.0</v>
      </c>
      <c r="BF4" s="21">
        <v>114.0</v>
      </c>
      <c r="BG4" s="21">
        <v>795.0</v>
      </c>
      <c r="BH4" s="21">
        <v>9.0</v>
      </c>
      <c r="BI4" s="21">
        <v>28.0</v>
      </c>
      <c r="BJ4" s="21">
        <v>28.0</v>
      </c>
      <c r="BK4" s="21">
        <v>68.0</v>
      </c>
      <c r="BL4" s="21">
        <v>50.0</v>
      </c>
      <c r="BM4" s="21">
        <v>8.0</v>
      </c>
      <c r="BN4" s="21">
        <v>49.0</v>
      </c>
      <c r="BO4" s="21">
        <v>47.0</v>
      </c>
      <c r="BP4" s="21">
        <v>77.0</v>
      </c>
      <c r="BQ4" s="21">
        <v>48.0</v>
      </c>
      <c r="BR4" s="21">
        <v>148.0</v>
      </c>
      <c r="BS4" s="21">
        <v>103.0</v>
      </c>
      <c r="BT4" s="21">
        <v>38.0</v>
      </c>
      <c r="BU4" s="21">
        <v>31.0</v>
      </c>
      <c r="BV4" s="21">
        <v>34.0</v>
      </c>
    </row>
    <row r="5" ht="15.75" customHeight="1">
      <c r="A5" s="18" t="s">
        <v>86</v>
      </c>
      <c r="B5" s="19" t="s">
        <v>87</v>
      </c>
      <c r="C5" s="18" t="s">
        <v>83</v>
      </c>
      <c r="D5" s="18" t="s">
        <v>88</v>
      </c>
      <c r="E5" s="20" t="s">
        <v>85</v>
      </c>
      <c r="F5" s="20">
        <v>100.0</v>
      </c>
      <c r="G5" s="21">
        <v>60.0</v>
      </c>
      <c r="H5" s="21">
        <v>0.82</v>
      </c>
      <c r="I5" s="21">
        <v>15.0</v>
      </c>
      <c r="J5" s="21">
        <v>0.38</v>
      </c>
      <c r="K5" s="21">
        <v>1.6</v>
      </c>
      <c r="L5" s="21">
        <v>13.7</v>
      </c>
      <c r="M5" s="21">
        <v>0.0</v>
      </c>
      <c r="N5" s="21">
        <v>4.7</v>
      </c>
      <c r="O5" s="21">
        <v>2.9</v>
      </c>
      <c r="P5" s="21">
        <v>6.5</v>
      </c>
      <c r="Q5" s="21">
        <v>0.09</v>
      </c>
      <c r="R5" s="21">
        <v>0.14</v>
      </c>
      <c r="S5" s="21">
        <v>0.07</v>
      </c>
      <c r="T5" s="21">
        <v>9.0</v>
      </c>
      <c r="U5" s="21">
        <v>28.0</v>
      </c>
      <c r="V5" s="21">
        <v>83.0</v>
      </c>
      <c r="W5" s="22">
        <v>51.0</v>
      </c>
      <c r="X5" s="21">
        <v>54.0</v>
      </c>
      <c r="Y5" s="21">
        <v>445.0</v>
      </c>
      <c r="Z5" s="21">
        <v>0.028</v>
      </c>
      <c r="AA5" s="21">
        <v>0.038</v>
      </c>
      <c r="AB5" s="21">
        <v>0.669</v>
      </c>
      <c r="AC5" s="21">
        <v>0.197</v>
      </c>
      <c r="AD5" s="21">
        <v>0.119</v>
      </c>
      <c r="AE5" s="21">
        <v>0.06</v>
      </c>
      <c r="AF5" s="21">
        <v>43.0</v>
      </c>
      <c r="AG5" s="21">
        <v>0.0</v>
      </c>
      <c r="AH5" s="21">
        <v>36.4</v>
      </c>
      <c r="AI5" s="21">
        <v>0.0</v>
      </c>
      <c r="AJ5" s="21">
        <v>0.9</v>
      </c>
      <c r="AK5" s="21">
        <v>4.2</v>
      </c>
      <c r="AL5" s="21">
        <v>0.0</v>
      </c>
      <c r="AM5" s="21">
        <v>7.6</v>
      </c>
      <c r="AN5" s="21">
        <v>11.0</v>
      </c>
      <c r="AO5" s="21">
        <v>0.16</v>
      </c>
      <c r="AP5" s="21">
        <v>10.0</v>
      </c>
      <c r="AQ5" s="21">
        <v>14.0</v>
      </c>
      <c r="AR5" s="21">
        <v>168.0</v>
      </c>
      <c r="AS5" s="21">
        <v>1.0</v>
      </c>
      <c r="AT5" s="21">
        <v>0.09</v>
      </c>
      <c r="AU5" s="21">
        <v>0.11</v>
      </c>
      <c r="AV5" s="21">
        <v>0.06</v>
      </c>
      <c r="AW5" s="21">
        <v>0.6</v>
      </c>
      <c r="AX5" s="21">
        <v>0.0</v>
      </c>
      <c r="AY5" s="21">
        <v>0.0</v>
      </c>
      <c r="AZ5" s="21">
        <v>0.0</v>
      </c>
      <c r="BA5" s="21">
        <v>0.0</v>
      </c>
      <c r="BB5" s="21">
        <v>0.0</v>
      </c>
      <c r="BC5" s="21">
        <v>0.1</v>
      </c>
      <c r="BD5" s="21">
        <v>0.7</v>
      </c>
      <c r="BE5" s="21">
        <v>0.0</v>
      </c>
      <c r="BF5" s="21">
        <v>312.0</v>
      </c>
      <c r="BG5" s="21">
        <v>1002.0</v>
      </c>
      <c r="BH5" s="21">
        <v>11.0</v>
      </c>
      <c r="BI5" s="21">
        <v>31.0</v>
      </c>
      <c r="BJ5" s="21">
        <v>25.0</v>
      </c>
      <c r="BK5" s="21">
        <v>57.0</v>
      </c>
      <c r="BL5" s="21">
        <v>27.0</v>
      </c>
      <c r="BM5" s="21">
        <v>6.0</v>
      </c>
      <c r="BN5" s="21">
        <v>21.0</v>
      </c>
      <c r="BO5" s="21">
        <v>31.0</v>
      </c>
      <c r="BP5" s="21">
        <v>12.0</v>
      </c>
      <c r="BQ5" s="21">
        <v>21.0</v>
      </c>
      <c r="BR5" s="21">
        <v>99.0</v>
      </c>
      <c r="BS5" s="21">
        <v>41.0</v>
      </c>
      <c r="BT5" s="21">
        <v>24.0</v>
      </c>
      <c r="BU5" s="21">
        <v>84.0</v>
      </c>
      <c r="BV5" s="21">
        <v>18.0</v>
      </c>
    </row>
    <row r="6" ht="15.75" customHeight="1">
      <c r="A6" s="18" t="s">
        <v>89</v>
      </c>
      <c r="B6" s="19" t="s">
        <v>90</v>
      </c>
      <c r="C6" s="18" t="s">
        <v>83</v>
      </c>
      <c r="D6" s="18" t="s">
        <v>91</v>
      </c>
      <c r="E6" s="20" t="s">
        <v>85</v>
      </c>
      <c r="F6" s="20">
        <v>100.0</v>
      </c>
      <c r="G6" s="21">
        <v>43.0</v>
      </c>
      <c r="H6" s="21">
        <v>0.47</v>
      </c>
      <c r="I6" s="21">
        <v>10.82</v>
      </c>
      <c r="J6" s="21">
        <v>0.26</v>
      </c>
      <c r="K6" s="21">
        <v>1.7</v>
      </c>
      <c r="L6" s="21">
        <v>7.82</v>
      </c>
      <c r="M6" s="21">
        <v>0.0</v>
      </c>
      <c r="N6" s="21">
        <v>3.73</v>
      </c>
      <c r="O6" s="21">
        <v>2.34</v>
      </c>
      <c r="P6" s="21">
        <v>1.76</v>
      </c>
      <c r="Q6" s="21">
        <v>0.08</v>
      </c>
      <c r="R6" s="21">
        <v>0.07</v>
      </c>
      <c r="S6" s="21">
        <v>0.05</v>
      </c>
      <c r="T6" s="21">
        <v>8.0</v>
      </c>
      <c r="U6" s="21">
        <v>18.0</v>
      </c>
      <c r="V6" s="21">
        <v>88.0</v>
      </c>
      <c r="W6" s="22">
        <v>60.0</v>
      </c>
      <c r="X6" s="21">
        <v>47.0</v>
      </c>
      <c r="Y6" s="21">
        <v>274.0</v>
      </c>
      <c r="Z6" s="21">
        <v>0.023</v>
      </c>
      <c r="AA6" s="21">
        <v>0.027</v>
      </c>
      <c r="AB6" s="21">
        <v>0.357</v>
      </c>
      <c r="AC6" s="21">
        <v>0.218</v>
      </c>
      <c r="AD6" s="21">
        <v>0.038</v>
      </c>
      <c r="AE6" s="21">
        <v>0.04</v>
      </c>
      <c r="AF6" s="21">
        <v>37.0</v>
      </c>
      <c r="AG6" s="21">
        <v>0.0</v>
      </c>
      <c r="AH6" s="21">
        <v>60.9</v>
      </c>
      <c r="AI6" s="21">
        <v>0.0</v>
      </c>
      <c r="AJ6" s="21">
        <v>0.3</v>
      </c>
      <c r="AK6" s="21">
        <v>2.6</v>
      </c>
      <c r="AL6" s="21">
        <v>0.0</v>
      </c>
      <c r="AM6" s="21">
        <v>6.6</v>
      </c>
      <c r="AN6" s="21">
        <v>20.0</v>
      </c>
      <c r="AO6" s="21">
        <v>0.25</v>
      </c>
      <c r="AP6" s="21">
        <v>21.0</v>
      </c>
      <c r="AQ6" s="21">
        <v>10.0</v>
      </c>
      <c r="AR6" s="21">
        <v>182.0</v>
      </c>
      <c r="AS6" s="21">
        <v>8.0</v>
      </c>
      <c r="AT6" s="21">
        <v>0.08</v>
      </c>
      <c r="AU6" s="21">
        <v>0.016</v>
      </c>
      <c r="AV6" s="21">
        <v>0.04</v>
      </c>
      <c r="AW6" s="21">
        <v>0.6</v>
      </c>
      <c r="AX6" s="21">
        <v>0.0</v>
      </c>
      <c r="AY6" s="21">
        <v>0.0</v>
      </c>
      <c r="AZ6" s="21">
        <v>0.0</v>
      </c>
      <c r="BA6" s="21">
        <v>831.0</v>
      </c>
      <c r="BB6" s="21">
        <v>89.0</v>
      </c>
      <c r="BC6" s="21">
        <v>0.0</v>
      </c>
      <c r="BD6" s="21">
        <v>0.0</v>
      </c>
      <c r="BE6" s="21">
        <v>0.0</v>
      </c>
      <c r="BF6" s="21">
        <v>60.0</v>
      </c>
      <c r="BG6" s="21">
        <v>300.0</v>
      </c>
      <c r="BH6" s="21">
        <v>6.0</v>
      </c>
      <c r="BI6" s="21">
        <v>14.0</v>
      </c>
      <c r="BJ6" s="21">
        <v>12.0</v>
      </c>
      <c r="BK6" s="21">
        <v>26.0</v>
      </c>
      <c r="BL6" s="21">
        <v>17.0</v>
      </c>
      <c r="BM6" s="21">
        <v>3.0</v>
      </c>
      <c r="BN6" s="21">
        <v>12.0</v>
      </c>
      <c r="BO6" s="21">
        <v>15.0</v>
      </c>
      <c r="BP6" s="21">
        <v>10.0</v>
      </c>
      <c r="BQ6" s="21">
        <v>14.0</v>
      </c>
      <c r="BR6" s="21">
        <v>30.0</v>
      </c>
      <c r="BS6" s="21">
        <v>27.0</v>
      </c>
      <c r="BT6" s="21">
        <v>11.0</v>
      </c>
      <c r="BU6" s="21">
        <v>14.0</v>
      </c>
      <c r="BV6" s="21">
        <v>8.0</v>
      </c>
    </row>
    <row r="7" ht="15.75" customHeight="1">
      <c r="A7" s="18" t="s">
        <v>92</v>
      </c>
      <c r="B7" s="19" t="s">
        <v>93</v>
      </c>
      <c r="C7" s="18" t="s">
        <v>83</v>
      </c>
      <c r="D7" s="18" t="s">
        <v>94</v>
      </c>
      <c r="E7" s="20" t="s">
        <v>85</v>
      </c>
      <c r="F7" s="20">
        <v>100.0</v>
      </c>
      <c r="G7" s="21">
        <v>50.0</v>
      </c>
      <c r="H7" s="21">
        <v>0.54</v>
      </c>
      <c r="I7" s="21">
        <v>13.12</v>
      </c>
      <c r="J7" s="21">
        <v>0.12</v>
      </c>
      <c r="K7" s="21">
        <v>1.4</v>
      </c>
      <c r="L7" s="21">
        <v>9.85</v>
      </c>
      <c r="M7" s="21">
        <v>0.0</v>
      </c>
      <c r="N7" s="21">
        <v>2.12</v>
      </c>
      <c r="O7" s="21">
        <v>2.85</v>
      </c>
      <c r="P7" s="21">
        <v>3.59</v>
      </c>
      <c r="Q7" s="21">
        <v>0.009</v>
      </c>
      <c r="R7" s="21">
        <v>0.013</v>
      </c>
      <c r="S7" s="21">
        <v>0.04</v>
      </c>
      <c r="T7" s="21">
        <v>0.0</v>
      </c>
      <c r="U7" s="21">
        <v>7.0</v>
      </c>
      <c r="V7" s="21">
        <v>86.0</v>
      </c>
      <c r="W7" s="22">
        <v>59.0</v>
      </c>
      <c r="X7" s="21">
        <v>3.0</v>
      </c>
      <c r="Y7" s="21">
        <v>31.0</v>
      </c>
      <c r="Z7" s="21">
        <v>0.079</v>
      </c>
      <c r="AA7" s="21">
        <v>0.032</v>
      </c>
      <c r="AB7" s="21">
        <v>0.5</v>
      </c>
      <c r="AC7" s="21">
        <v>0.213</v>
      </c>
      <c r="AD7" s="21">
        <v>0.112</v>
      </c>
      <c r="AE7" s="21">
        <v>0.12</v>
      </c>
      <c r="AF7" s="21">
        <v>18.0</v>
      </c>
      <c r="AG7" s="21">
        <v>0.0</v>
      </c>
      <c r="AH7" s="21">
        <v>47.8</v>
      </c>
      <c r="AI7" s="21">
        <v>0.0</v>
      </c>
      <c r="AJ7" s="21">
        <v>0.02</v>
      </c>
      <c r="AK7" s="21">
        <v>0.7</v>
      </c>
      <c r="AL7" s="21">
        <v>0.0</v>
      </c>
      <c r="AM7" s="21">
        <v>5.5</v>
      </c>
      <c r="AN7" s="21">
        <v>13.0</v>
      </c>
      <c r="AO7" s="21">
        <v>0.29</v>
      </c>
      <c r="AP7" s="21">
        <v>12.0</v>
      </c>
      <c r="AQ7" s="21">
        <v>8.0</v>
      </c>
      <c r="AR7" s="21">
        <v>109.0</v>
      </c>
      <c r="AS7" s="21">
        <v>1.0</v>
      </c>
      <c r="AT7" s="21">
        <v>0.12</v>
      </c>
      <c r="AU7" s="21">
        <v>0.11</v>
      </c>
      <c r="AV7" s="21">
        <v>0.93</v>
      </c>
      <c r="AW7" s="21">
        <v>0.1</v>
      </c>
      <c r="AX7" s="21">
        <v>0.0</v>
      </c>
      <c r="AY7" s="21">
        <v>0.0</v>
      </c>
      <c r="AZ7" s="21">
        <v>0.0</v>
      </c>
      <c r="BA7" s="21">
        <v>0.0</v>
      </c>
      <c r="BB7" s="21">
        <v>0.0</v>
      </c>
      <c r="BC7" s="21">
        <v>0.0</v>
      </c>
      <c r="BD7" s="21">
        <v>0.0</v>
      </c>
      <c r="BE7" s="21">
        <v>0.0</v>
      </c>
      <c r="BF7" s="21">
        <v>47.0</v>
      </c>
      <c r="BG7" s="21">
        <v>385.0</v>
      </c>
      <c r="BH7" s="21">
        <v>7.0</v>
      </c>
      <c r="BI7" s="21">
        <v>15.0</v>
      </c>
      <c r="BJ7" s="21">
        <v>11.0</v>
      </c>
      <c r="BK7" s="21">
        <v>16.0</v>
      </c>
      <c r="BL7" s="21">
        <v>8.0</v>
      </c>
      <c r="BM7" s="21">
        <v>10.0</v>
      </c>
      <c r="BN7" s="21">
        <v>7.0</v>
      </c>
      <c r="BO7" s="21">
        <v>11.0</v>
      </c>
      <c r="BP7" s="21">
        <v>10.0</v>
      </c>
      <c r="BQ7" s="21">
        <v>14.0</v>
      </c>
      <c r="BR7" s="21">
        <v>41.0</v>
      </c>
      <c r="BS7" s="21">
        <v>31.0</v>
      </c>
      <c r="BT7" s="21">
        <v>17.0</v>
      </c>
      <c r="BU7" s="21">
        <v>24.0</v>
      </c>
      <c r="BV7" s="21">
        <v>6.0</v>
      </c>
    </row>
    <row r="8" ht="15.75" customHeight="1">
      <c r="A8" s="18" t="s">
        <v>95</v>
      </c>
      <c r="B8" s="19" t="s">
        <v>96</v>
      </c>
      <c r="C8" s="18" t="s">
        <v>83</v>
      </c>
      <c r="D8" s="18" t="s">
        <v>97</v>
      </c>
      <c r="E8" s="20" t="s">
        <v>85</v>
      </c>
      <c r="F8" s="20">
        <v>100.0</v>
      </c>
      <c r="G8" s="21">
        <v>68.0</v>
      </c>
      <c r="H8" s="21">
        <v>2.55</v>
      </c>
      <c r="I8" s="21">
        <v>14.32</v>
      </c>
      <c r="J8" s="21">
        <v>0.95</v>
      </c>
      <c r="K8" s="21">
        <v>5.4</v>
      </c>
      <c r="L8" s="21">
        <v>8.92</v>
      </c>
      <c r="M8" s="21">
        <v>0.0</v>
      </c>
      <c r="N8" s="21">
        <v>4.97</v>
      </c>
      <c r="O8" s="21">
        <v>2.68</v>
      </c>
      <c r="P8" s="21">
        <v>1.27</v>
      </c>
      <c r="Q8" s="21">
        <v>0.27</v>
      </c>
      <c r="R8" s="21">
        <v>0.27</v>
      </c>
      <c r="S8" s="21">
        <v>0.4</v>
      </c>
      <c r="T8" s="21">
        <v>114.0</v>
      </c>
      <c r="U8" s="21">
        <v>193.0</v>
      </c>
      <c r="V8" s="21">
        <v>81.0</v>
      </c>
      <c r="W8" s="22">
        <v>12.0</v>
      </c>
      <c r="X8" s="21">
        <v>31.0</v>
      </c>
      <c r="Y8" s="21">
        <v>374.0</v>
      </c>
      <c r="Z8" s="21">
        <v>0.067</v>
      </c>
      <c r="AA8" s="21">
        <v>0.04</v>
      </c>
      <c r="AB8" s="21">
        <v>1.084</v>
      </c>
      <c r="AC8" s="21">
        <v>0.451</v>
      </c>
      <c r="AD8" s="21">
        <v>0.11</v>
      </c>
      <c r="AE8" s="21">
        <v>0.34</v>
      </c>
      <c r="AF8" s="21">
        <v>49.0</v>
      </c>
      <c r="AG8" s="21">
        <v>0.0</v>
      </c>
      <c r="AH8" s="21">
        <v>228.3</v>
      </c>
      <c r="AI8" s="21">
        <v>0.0</v>
      </c>
      <c r="AJ8" s="21">
        <v>0.73</v>
      </c>
      <c r="AK8" s="21">
        <v>2.6</v>
      </c>
      <c r="AL8" s="21">
        <v>0.0</v>
      </c>
      <c r="AM8" s="21">
        <v>7.6</v>
      </c>
      <c r="AN8" s="21">
        <v>18.0</v>
      </c>
      <c r="AO8" s="21">
        <v>0.26</v>
      </c>
      <c r="AP8" s="21">
        <v>22.0</v>
      </c>
      <c r="AQ8" s="21">
        <v>40.0</v>
      </c>
      <c r="AR8" s="21">
        <v>417.0</v>
      </c>
      <c r="AS8" s="21">
        <v>2.0</v>
      </c>
      <c r="AT8" s="21">
        <v>0.23</v>
      </c>
      <c r="AU8" s="21">
        <v>0.23</v>
      </c>
      <c r="AV8" s="21">
        <v>0.15</v>
      </c>
      <c r="AW8" s="21">
        <v>0.6</v>
      </c>
      <c r="AX8" s="21">
        <v>0.0</v>
      </c>
      <c r="AY8" s="21">
        <v>0.0</v>
      </c>
      <c r="AZ8" s="21">
        <v>0.0</v>
      </c>
      <c r="BA8" s="21">
        <v>0.0</v>
      </c>
      <c r="BB8" s="21">
        <v>54.0</v>
      </c>
      <c r="BC8" s="21">
        <v>0.0</v>
      </c>
      <c r="BD8" s="21">
        <v>0.0</v>
      </c>
      <c r="BE8" s="21">
        <v>0.0</v>
      </c>
      <c r="BF8" s="21">
        <v>624.0</v>
      </c>
      <c r="BG8" s="21">
        <v>1038.0</v>
      </c>
      <c r="BH8" s="21">
        <v>33.0</v>
      </c>
      <c r="BI8" s="21">
        <v>60.0</v>
      </c>
      <c r="BJ8" s="21">
        <v>53.0</v>
      </c>
      <c r="BK8" s="21">
        <v>120.0</v>
      </c>
      <c r="BL8" s="21">
        <v>82.0</v>
      </c>
      <c r="BM8" s="21">
        <v>17.0</v>
      </c>
      <c r="BN8" s="21">
        <v>50.0</v>
      </c>
      <c r="BO8" s="21">
        <v>63.0</v>
      </c>
      <c r="BP8" s="21">
        <v>11.0</v>
      </c>
      <c r="BQ8" s="21">
        <v>38.0</v>
      </c>
      <c r="BR8" s="21">
        <v>85.0</v>
      </c>
      <c r="BS8" s="21">
        <v>47.0</v>
      </c>
      <c r="BT8" s="21">
        <v>40.0</v>
      </c>
      <c r="BU8" s="21">
        <v>81.0</v>
      </c>
      <c r="BV8" s="21">
        <v>45.0</v>
      </c>
    </row>
    <row r="9" ht="15.75" customHeight="1">
      <c r="A9" s="18" t="s">
        <v>98</v>
      </c>
      <c r="B9" s="19" t="s">
        <v>99</v>
      </c>
      <c r="C9" s="18" t="s">
        <v>83</v>
      </c>
      <c r="D9" s="18" t="s">
        <v>100</v>
      </c>
      <c r="E9" s="20" t="s">
        <v>85</v>
      </c>
      <c r="F9" s="20">
        <v>100.0</v>
      </c>
      <c r="G9" s="21">
        <v>95.0</v>
      </c>
      <c r="H9" s="21">
        <v>1.72</v>
      </c>
      <c r="I9" s="21">
        <v>23.25</v>
      </c>
      <c r="J9" s="21">
        <v>0.64</v>
      </c>
      <c r="K9" s="21">
        <v>1.5</v>
      </c>
      <c r="L9" s="21">
        <v>19.08</v>
      </c>
      <c r="M9" s="21">
        <v>0.0</v>
      </c>
      <c r="N9" s="21">
        <v>9.28</v>
      </c>
      <c r="O9" s="21">
        <v>8.63</v>
      </c>
      <c r="P9" s="21">
        <v>1.17</v>
      </c>
      <c r="Q9" s="21">
        <v>0.16</v>
      </c>
      <c r="R9" s="21">
        <v>0.16</v>
      </c>
      <c r="S9" s="21">
        <v>0.26</v>
      </c>
      <c r="T9" s="21">
        <v>5.0</v>
      </c>
      <c r="U9" s="21">
        <v>76.0</v>
      </c>
      <c r="V9" s="21">
        <v>74.0</v>
      </c>
      <c r="W9" s="22">
        <v>75.0</v>
      </c>
      <c r="X9" s="21">
        <v>5.0</v>
      </c>
      <c r="Y9" s="21">
        <v>61.0</v>
      </c>
      <c r="Z9" s="21">
        <v>0.105</v>
      </c>
      <c r="AA9" s="21">
        <v>0.055</v>
      </c>
      <c r="AB9" s="21">
        <v>0.92</v>
      </c>
      <c r="AC9" s="21">
        <v>0.235</v>
      </c>
      <c r="AD9" s="21">
        <v>0.329</v>
      </c>
      <c r="AE9" s="21">
        <v>0.0</v>
      </c>
      <c r="AF9" s="21">
        <v>24.0</v>
      </c>
      <c r="AG9" s="21">
        <v>0.0</v>
      </c>
      <c r="AH9" s="21">
        <v>13.7</v>
      </c>
      <c r="AI9" s="21">
        <v>0.0</v>
      </c>
      <c r="AJ9" s="21">
        <v>0.34</v>
      </c>
      <c r="AK9" s="21">
        <v>0.0</v>
      </c>
      <c r="AL9" s="21">
        <v>0.0</v>
      </c>
      <c r="AM9" s="21">
        <v>13.4</v>
      </c>
      <c r="AN9" s="21">
        <v>24.0</v>
      </c>
      <c r="AO9" s="21">
        <v>0.23</v>
      </c>
      <c r="AP9" s="21">
        <v>29.0</v>
      </c>
      <c r="AQ9" s="21">
        <v>21.0</v>
      </c>
      <c r="AR9" s="21">
        <v>448.0</v>
      </c>
      <c r="AS9" s="21">
        <v>2.0</v>
      </c>
      <c r="AT9" s="21">
        <v>0.13</v>
      </c>
      <c r="AU9" s="21">
        <v>0.076</v>
      </c>
      <c r="AV9" s="21">
        <v>0.043</v>
      </c>
      <c r="AW9" s="21">
        <v>0.6</v>
      </c>
      <c r="AX9" s="21">
        <v>0.0</v>
      </c>
      <c r="AY9" s="21">
        <v>0.0</v>
      </c>
      <c r="AZ9" s="21">
        <v>0.0</v>
      </c>
      <c r="BA9" s="21">
        <v>157.0</v>
      </c>
      <c r="BB9" s="21">
        <v>157.0</v>
      </c>
      <c r="BC9" s="21">
        <v>0.0</v>
      </c>
      <c r="BD9" s="21">
        <v>0.0</v>
      </c>
      <c r="BE9" s="21">
        <v>0.0</v>
      </c>
      <c r="BF9" s="21">
        <v>60.0</v>
      </c>
      <c r="BG9" s="21">
        <v>298.0</v>
      </c>
      <c r="BH9" s="21">
        <v>29.0</v>
      </c>
      <c r="BI9" s="21">
        <v>53.0</v>
      </c>
      <c r="BJ9" s="21">
        <v>57.0</v>
      </c>
      <c r="BK9" s="21">
        <v>99.0</v>
      </c>
      <c r="BL9" s="21">
        <v>75.0</v>
      </c>
      <c r="BM9" s="21">
        <v>14.0</v>
      </c>
      <c r="BN9" s="21">
        <v>60.0</v>
      </c>
      <c r="BO9" s="21">
        <v>67.0</v>
      </c>
      <c r="BP9" s="21">
        <v>34.0</v>
      </c>
      <c r="BQ9" s="21">
        <v>27.0</v>
      </c>
      <c r="BR9" s="21">
        <v>71.0</v>
      </c>
      <c r="BS9" s="21">
        <v>129.0</v>
      </c>
      <c r="BT9" s="21">
        <v>54.0</v>
      </c>
      <c r="BU9" s="21">
        <v>72.0</v>
      </c>
      <c r="BV9" s="21">
        <v>50.0</v>
      </c>
    </row>
    <row r="10" ht="15.75" customHeight="1">
      <c r="A10" s="18" t="s">
        <v>101</v>
      </c>
      <c r="B10" s="19" t="s">
        <v>102</v>
      </c>
      <c r="C10" s="18" t="s">
        <v>83</v>
      </c>
      <c r="D10" s="18" t="s">
        <v>103</v>
      </c>
      <c r="E10" s="20" t="s">
        <v>85</v>
      </c>
      <c r="F10" s="20">
        <v>100.0</v>
      </c>
      <c r="G10" s="21">
        <v>66.0</v>
      </c>
      <c r="H10" s="21">
        <v>0.83</v>
      </c>
      <c r="I10" s="21">
        <v>16.53</v>
      </c>
      <c r="J10" s="21">
        <v>0.44</v>
      </c>
      <c r="K10" s="21">
        <v>1.3</v>
      </c>
      <c r="L10" s="21">
        <v>15.23</v>
      </c>
      <c r="M10" s="21">
        <v>0.0</v>
      </c>
      <c r="N10" s="21">
        <v>2.37</v>
      </c>
      <c r="O10" s="21">
        <v>5.35</v>
      </c>
      <c r="P10" s="21">
        <v>7.51</v>
      </c>
      <c r="Q10" s="21">
        <v>0.1</v>
      </c>
      <c r="R10" s="21">
        <v>0.13</v>
      </c>
      <c r="S10" s="21">
        <v>0.12</v>
      </c>
      <c r="T10" s="21">
        <v>0.0</v>
      </c>
      <c r="U10" s="21">
        <v>0.0</v>
      </c>
      <c r="V10" s="21">
        <v>82.0</v>
      </c>
      <c r="W10" s="22">
        <v>57.0</v>
      </c>
      <c r="X10" s="21">
        <v>0.0</v>
      </c>
      <c r="Y10" s="21">
        <v>0.0</v>
      </c>
      <c r="Z10" s="21">
        <v>0.011</v>
      </c>
      <c r="AA10" s="21">
        <v>0.065</v>
      </c>
      <c r="AB10" s="21">
        <v>0.603</v>
      </c>
      <c r="AC10" s="21">
        <v>0.148</v>
      </c>
      <c r="AD10" s="21">
        <v>0.1</v>
      </c>
      <c r="AE10" s="21">
        <v>0.0</v>
      </c>
      <c r="AF10" s="21">
        <v>14.0</v>
      </c>
      <c r="AG10" s="21">
        <v>0.0</v>
      </c>
      <c r="AH10" s="21">
        <v>71.5</v>
      </c>
      <c r="AI10" s="21">
        <v>0.0</v>
      </c>
      <c r="AJ10" s="21">
        <v>0.07</v>
      </c>
      <c r="AK10" s="21">
        <v>0.4</v>
      </c>
      <c r="AL10" s="21">
        <v>0.0</v>
      </c>
      <c r="AM10" s="21">
        <v>7.1</v>
      </c>
      <c r="AN10" s="21">
        <v>5.0</v>
      </c>
      <c r="AO10" s="21">
        <v>0.31</v>
      </c>
      <c r="AP10" s="21">
        <v>10.0</v>
      </c>
      <c r="AQ10" s="21">
        <v>31.0</v>
      </c>
      <c r="AR10" s="21">
        <v>171.0</v>
      </c>
      <c r="AS10" s="21">
        <v>1.0</v>
      </c>
      <c r="AT10" s="21">
        <v>0.07</v>
      </c>
      <c r="AU10" s="21">
        <v>0.148</v>
      </c>
      <c r="AV10" s="21">
        <v>0.055</v>
      </c>
      <c r="AW10" s="21">
        <v>0.6</v>
      </c>
      <c r="AX10" s="21">
        <v>0.0</v>
      </c>
      <c r="AY10" s="21">
        <v>0.0</v>
      </c>
      <c r="AZ10" s="21">
        <v>0.0</v>
      </c>
      <c r="BA10" s="21">
        <v>0.0</v>
      </c>
      <c r="BB10" s="21">
        <v>0.0</v>
      </c>
      <c r="BC10" s="21">
        <v>0.0</v>
      </c>
      <c r="BD10" s="21">
        <v>0.0</v>
      </c>
      <c r="BE10" s="21">
        <v>0.0</v>
      </c>
      <c r="BF10" s="21">
        <v>66.0</v>
      </c>
      <c r="BG10" s="21">
        <v>1060.0</v>
      </c>
      <c r="BH10" s="21">
        <v>7.0</v>
      </c>
      <c r="BI10" s="21">
        <v>11.0</v>
      </c>
      <c r="BJ10" s="21">
        <v>11.0</v>
      </c>
      <c r="BK10" s="21">
        <v>22.0</v>
      </c>
      <c r="BL10" s="21">
        <v>17.0</v>
      </c>
      <c r="BM10" s="21">
        <v>3.0</v>
      </c>
      <c r="BN10" s="21">
        <v>15.0</v>
      </c>
      <c r="BO10" s="21">
        <v>16.0</v>
      </c>
      <c r="BP10" s="21">
        <v>11.0</v>
      </c>
      <c r="BQ10" s="21">
        <v>13.0</v>
      </c>
      <c r="BR10" s="21">
        <v>47.0</v>
      </c>
      <c r="BS10" s="21">
        <v>46.0</v>
      </c>
      <c r="BT10" s="21">
        <v>20.0</v>
      </c>
      <c r="BU10" s="21">
        <v>19.0</v>
      </c>
      <c r="BV10" s="21">
        <v>15.0</v>
      </c>
    </row>
    <row r="11" ht="15.75" customHeight="1">
      <c r="A11" s="18" t="s">
        <v>104</v>
      </c>
      <c r="B11" s="19" t="s">
        <v>105</v>
      </c>
      <c r="C11" s="18" t="s">
        <v>83</v>
      </c>
      <c r="D11" s="18" t="s">
        <v>106</v>
      </c>
      <c r="E11" s="20" t="s">
        <v>85</v>
      </c>
      <c r="F11" s="20">
        <v>100.0</v>
      </c>
      <c r="G11" s="21">
        <v>354.0</v>
      </c>
      <c r="H11" s="21">
        <v>3.33</v>
      </c>
      <c r="I11" s="21">
        <v>15.23</v>
      </c>
      <c r="J11" s="21">
        <v>33.49</v>
      </c>
      <c r="K11" s="21">
        <v>9.0</v>
      </c>
      <c r="L11" s="21">
        <v>6.23</v>
      </c>
      <c r="M11" s="21">
        <v>0.0</v>
      </c>
      <c r="N11" s="21">
        <v>0.0</v>
      </c>
      <c r="O11" s="21">
        <v>3.4</v>
      </c>
      <c r="P11" s="21">
        <v>2.83</v>
      </c>
      <c r="Q11" s="21">
        <v>29.7</v>
      </c>
      <c r="R11" s="21">
        <v>1.42</v>
      </c>
      <c r="S11" s="21">
        <v>0.37</v>
      </c>
      <c r="T11" s="21">
        <v>0.0</v>
      </c>
      <c r="U11" s="21">
        <v>0.0</v>
      </c>
      <c r="V11" s="21">
        <v>47.0</v>
      </c>
      <c r="W11" s="22">
        <v>45.0</v>
      </c>
      <c r="X11" s="21">
        <v>0.0</v>
      </c>
      <c r="Y11" s="21">
        <v>0.0</v>
      </c>
      <c r="Z11" s="21">
        <v>0.066</v>
      </c>
      <c r="AA11" s="21">
        <v>0.02</v>
      </c>
      <c r="AB11" s="21">
        <v>0.54</v>
      </c>
      <c r="AC11" s="21">
        <v>0.3</v>
      </c>
      <c r="AD11" s="21">
        <v>0.054</v>
      </c>
      <c r="AE11" s="21">
        <v>0.26</v>
      </c>
      <c r="AF11" s="21">
        <v>26.0</v>
      </c>
      <c r="AG11" s="21">
        <v>0.0</v>
      </c>
      <c r="AH11" s="21">
        <v>3.3</v>
      </c>
      <c r="AI11" s="21">
        <v>0.0</v>
      </c>
      <c r="AJ11" s="21">
        <v>0.24</v>
      </c>
      <c r="AK11" s="21">
        <v>0.2</v>
      </c>
      <c r="AL11" s="21">
        <v>0.0</v>
      </c>
      <c r="AM11" s="21">
        <v>12.1</v>
      </c>
      <c r="AN11" s="21">
        <v>14.0</v>
      </c>
      <c r="AO11" s="21">
        <v>2.43</v>
      </c>
      <c r="AP11" s="21">
        <v>32.0</v>
      </c>
      <c r="AQ11" s="21">
        <v>113.0</v>
      </c>
      <c r="AR11" s="21">
        <v>356.0</v>
      </c>
      <c r="AS11" s="21">
        <v>20.0</v>
      </c>
      <c r="AT11" s="21">
        <v>1.1</v>
      </c>
      <c r="AU11" s="21">
        <v>0.435</v>
      </c>
      <c r="AV11" s="21">
        <v>1.5</v>
      </c>
      <c r="AW11" s="21">
        <v>10.1</v>
      </c>
      <c r="AX11" s="21">
        <v>0.0</v>
      </c>
      <c r="AY11" s="21">
        <v>0.0</v>
      </c>
      <c r="AZ11" s="21">
        <v>0.0</v>
      </c>
      <c r="BA11" s="21">
        <v>0.0</v>
      </c>
      <c r="BB11" s="21">
        <v>0.0</v>
      </c>
      <c r="BC11" s="21">
        <v>0.0</v>
      </c>
      <c r="BD11" s="21">
        <v>0.0</v>
      </c>
      <c r="BE11" s="21">
        <v>0.0</v>
      </c>
      <c r="BF11" s="21">
        <v>163.0</v>
      </c>
      <c r="BG11" s="21">
        <v>0.0</v>
      </c>
      <c r="BH11" s="21">
        <v>25.0</v>
      </c>
      <c r="BI11" s="21">
        <v>103.0</v>
      </c>
      <c r="BJ11" s="21">
        <v>104.0</v>
      </c>
      <c r="BK11" s="21">
        <v>247.0</v>
      </c>
      <c r="BL11" s="21">
        <v>166.0</v>
      </c>
      <c r="BM11" s="21">
        <v>51.0</v>
      </c>
      <c r="BN11" s="21">
        <v>129.0</v>
      </c>
      <c r="BO11" s="21">
        <v>175.0</v>
      </c>
      <c r="BP11" s="21">
        <v>62.0</v>
      </c>
      <c r="BQ11" s="21">
        <v>536.0</v>
      </c>
      <c r="BR11" s="21">
        <v>344.0</v>
      </c>
      <c r="BS11" s="21">
        <v>248.0</v>
      </c>
      <c r="BT11" s="21">
        <v>110.0</v>
      </c>
      <c r="BU11" s="21">
        <v>80.0</v>
      </c>
      <c r="BV11" s="21">
        <v>117.0</v>
      </c>
    </row>
    <row r="12" ht="15.75" customHeight="1">
      <c r="A12" s="18" t="s">
        <v>107</v>
      </c>
      <c r="B12" s="19" t="s">
        <v>108</v>
      </c>
      <c r="C12" s="18" t="s">
        <v>83</v>
      </c>
      <c r="D12" s="18" t="s">
        <v>109</v>
      </c>
      <c r="E12" s="20" t="s">
        <v>85</v>
      </c>
      <c r="F12" s="20">
        <v>100.0</v>
      </c>
      <c r="G12" s="21">
        <v>30.0</v>
      </c>
      <c r="H12" s="21">
        <v>0.61</v>
      </c>
      <c r="I12" s="21">
        <v>7.55</v>
      </c>
      <c r="J12" s="21">
        <v>0.15</v>
      </c>
      <c r="K12" s="21">
        <v>0.4</v>
      </c>
      <c r="L12" s="21">
        <v>6.2</v>
      </c>
      <c r="M12" s="21">
        <v>0.0</v>
      </c>
      <c r="N12" s="21">
        <v>3.36</v>
      </c>
      <c r="O12" s="21">
        <v>1.57</v>
      </c>
      <c r="P12" s="21">
        <v>1.21</v>
      </c>
      <c r="Q12" s="21">
        <v>0.02</v>
      </c>
      <c r="R12" s="21">
        <v>0.03</v>
      </c>
      <c r="S12" s="21">
        <v>0.05</v>
      </c>
      <c r="T12" s="21">
        <v>3.0</v>
      </c>
      <c r="U12" s="21">
        <v>28.0</v>
      </c>
      <c r="V12" s="21">
        <v>91.0</v>
      </c>
      <c r="W12" s="22">
        <v>76.0</v>
      </c>
      <c r="X12" s="21">
        <v>28.0</v>
      </c>
      <c r="Y12" s="21">
        <v>303.0</v>
      </c>
      <c r="Z12" s="21">
        <v>0.033</v>
      </c>
      <c r="AA12" s="21">
        <v>0.021</v>
      </c>
      <c r="AB12" s="21">
        <v>0.178</v>
      </c>
      <c r="AC12" s="21">
        <v>0.221</v>
      </c>
      <c r="AD12" s="21">
        <v>0.045</v>
      </c>
      <c r="AE12" s="21">
        <v>0.0</v>
      </c>
      <c r="AF12" s="21">
        <v>3.0</v>
      </c>
      <c r="AG12" s="21">
        <v>0.0</v>
      </c>
      <c r="AH12" s="21">
        <v>8.1</v>
      </c>
      <c r="AI12" s="21">
        <v>0.0</v>
      </c>
      <c r="AJ12" s="21">
        <v>0.05</v>
      </c>
      <c r="AK12" s="21">
        <v>0.0</v>
      </c>
      <c r="AL12" s="21">
        <v>0.0</v>
      </c>
      <c r="AM12" s="21">
        <v>4.1</v>
      </c>
      <c r="AN12" s="21">
        <v>7.0</v>
      </c>
      <c r="AO12" s="21">
        <v>0.24</v>
      </c>
      <c r="AP12" s="21">
        <v>10.0</v>
      </c>
      <c r="AQ12" s="21">
        <v>11.0</v>
      </c>
      <c r="AR12" s="21">
        <v>112.0</v>
      </c>
      <c r="AS12" s="21">
        <v>1.0</v>
      </c>
      <c r="AT12" s="21">
        <v>0.1</v>
      </c>
      <c r="AU12" s="21">
        <v>0.042</v>
      </c>
      <c r="AV12" s="21">
        <v>0.038</v>
      </c>
      <c r="AW12" s="21">
        <v>0.4</v>
      </c>
      <c r="AX12" s="21">
        <v>1.5</v>
      </c>
      <c r="AY12" s="21">
        <v>0.0</v>
      </c>
      <c r="AZ12" s="21">
        <v>0.0</v>
      </c>
      <c r="BA12" s="21">
        <v>4532.0</v>
      </c>
      <c r="BB12" s="21">
        <v>8.0</v>
      </c>
      <c r="BC12" s="21">
        <v>0.0</v>
      </c>
      <c r="BD12" s="21">
        <v>0.0</v>
      </c>
      <c r="BE12" s="21">
        <v>0.0</v>
      </c>
      <c r="BF12" s="21">
        <v>28.0</v>
      </c>
      <c r="BG12" s="21">
        <v>142.0</v>
      </c>
      <c r="BH12" s="21">
        <v>7.0</v>
      </c>
      <c r="BI12" s="21">
        <v>17.0</v>
      </c>
      <c r="BJ12" s="21">
        <v>16.0</v>
      </c>
      <c r="BK12" s="21">
        <v>27.0</v>
      </c>
      <c r="BL12" s="21">
        <v>11.0</v>
      </c>
      <c r="BM12" s="21">
        <v>3.0</v>
      </c>
      <c r="BN12" s="21">
        <v>11.0</v>
      </c>
      <c r="BO12" s="21">
        <v>11.0</v>
      </c>
      <c r="BP12" s="21">
        <v>4.0</v>
      </c>
      <c r="BQ12" s="21">
        <v>9.0</v>
      </c>
      <c r="BR12" s="21">
        <v>22.0</v>
      </c>
      <c r="BS12" s="21">
        <v>13.0</v>
      </c>
      <c r="BT12" s="21">
        <v>10.0</v>
      </c>
      <c r="BU12" s="21">
        <v>14.0</v>
      </c>
      <c r="BV12" s="21">
        <v>7.0</v>
      </c>
    </row>
    <row r="13" ht="15.75" customHeight="1">
      <c r="A13" s="18" t="s">
        <v>110</v>
      </c>
      <c r="B13" s="19" t="s">
        <v>111</v>
      </c>
      <c r="C13" s="18" t="s">
        <v>83</v>
      </c>
      <c r="D13" s="18" t="s">
        <v>112</v>
      </c>
      <c r="E13" s="20" t="s">
        <v>85</v>
      </c>
      <c r="F13" s="20">
        <v>100.0</v>
      </c>
      <c r="G13" s="21">
        <v>83.0</v>
      </c>
      <c r="H13" s="21">
        <v>1.67</v>
      </c>
      <c r="I13" s="21">
        <v>18.7</v>
      </c>
      <c r="J13" s="21">
        <v>1.17</v>
      </c>
      <c r="K13" s="21">
        <v>4.0</v>
      </c>
      <c r="L13" s="21">
        <v>13.67</v>
      </c>
      <c r="M13" s="21">
        <v>0.0</v>
      </c>
      <c r="N13" s="21">
        <v>7.93</v>
      </c>
      <c r="O13" s="21">
        <v>5.74</v>
      </c>
      <c r="P13" s="21">
        <v>0.0</v>
      </c>
      <c r="Q13" s="21">
        <v>0.12</v>
      </c>
      <c r="R13" s="21">
        <v>0.09</v>
      </c>
      <c r="S13" s="21">
        <v>0.08</v>
      </c>
      <c r="T13" s="21">
        <v>0.0</v>
      </c>
      <c r="U13" s="21">
        <v>0.0</v>
      </c>
      <c r="V13" s="21">
        <v>78.0</v>
      </c>
      <c r="W13" s="22">
        <v>18.0</v>
      </c>
      <c r="X13" s="21">
        <v>0.0</v>
      </c>
      <c r="Y13" s="21">
        <v>0.0</v>
      </c>
      <c r="Z13" s="21">
        <v>0.067</v>
      </c>
      <c r="AA13" s="21">
        <v>0.053</v>
      </c>
      <c r="AB13" s="21">
        <v>0.293</v>
      </c>
      <c r="AC13" s="21">
        <v>0.377</v>
      </c>
      <c r="AD13" s="21">
        <v>0.075</v>
      </c>
      <c r="AE13" s="21">
        <v>0.0</v>
      </c>
      <c r="AF13" s="21">
        <v>38.0</v>
      </c>
      <c r="AG13" s="21">
        <v>0.0</v>
      </c>
      <c r="AH13" s="21">
        <v>10.2</v>
      </c>
      <c r="AI13" s="21">
        <v>0.0</v>
      </c>
      <c r="AJ13" s="21">
        <v>0.6</v>
      </c>
      <c r="AK13" s="21">
        <v>16.4</v>
      </c>
      <c r="AL13" s="21">
        <v>0.0</v>
      </c>
      <c r="AM13" s="21">
        <v>7.6</v>
      </c>
      <c r="AN13" s="21">
        <v>10.0</v>
      </c>
      <c r="AO13" s="21">
        <v>0.3</v>
      </c>
      <c r="AP13" s="21">
        <v>12.0</v>
      </c>
      <c r="AQ13" s="21">
        <v>36.0</v>
      </c>
      <c r="AR13" s="21">
        <v>236.0</v>
      </c>
      <c r="AS13" s="21">
        <v>3.0</v>
      </c>
      <c r="AT13" s="21">
        <v>0.35</v>
      </c>
      <c r="AU13" s="21">
        <v>0.158</v>
      </c>
      <c r="AV13" s="21">
        <v>0.119</v>
      </c>
      <c r="AW13" s="21">
        <v>0.5</v>
      </c>
      <c r="AX13" s="21">
        <v>0.0</v>
      </c>
      <c r="AY13" s="21">
        <v>0.0</v>
      </c>
      <c r="AZ13" s="21">
        <v>0.0</v>
      </c>
      <c r="BA13" s="21">
        <v>0.0</v>
      </c>
      <c r="BB13" s="21">
        <v>0.0</v>
      </c>
      <c r="BC13" s="21">
        <v>0.13</v>
      </c>
      <c r="BD13" s="21">
        <v>68.7</v>
      </c>
      <c r="BE13" s="21">
        <v>0.0</v>
      </c>
      <c r="BF13" s="21">
        <v>236.0</v>
      </c>
      <c r="BG13" s="21">
        <v>2341.0</v>
      </c>
      <c r="BH13" s="21">
        <v>15.0</v>
      </c>
      <c r="BI13" s="21">
        <v>27.0</v>
      </c>
      <c r="BJ13" s="21">
        <v>22.0</v>
      </c>
      <c r="BK13" s="21">
        <v>40.0</v>
      </c>
      <c r="BL13" s="21">
        <v>26.0</v>
      </c>
      <c r="BM13" s="21">
        <v>6.0</v>
      </c>
      <c r="BN13" s="21">
        <v>20.0</v>
      </c>
      <c r="BO13" s="21">
        <v>22.0</v>
      </c>
      <c r="BP13" s="21">
        <v>14.0</v>
      </c>
      <c r="BQ13" s="21">
        <v>32.0</v>
      </c>
      <c r="BR13" s="21">
        <v>83.0</v>
      </c>
      <c r="BS13" s="21">
        <v>42.0</v>
      </c>
      <c r="BT13" s="21">
        <v>24.0</v>
      </c>
      <c r="BU13" s="21">
        <v>27.0</v>
      </c>
      <c r="BV13" s="21">
        <v>17.0</v>
      </c>
    </row>
    <row r="14" ht="15.75" customHeight="1">
      <c r="A14" s="18" t="s">
        <v>113</v>
      </c>
      <c r="B14" s="19" t="s">
        <v>114</v>
      </c>
      <c r="C14" s="18" t="s">
        <v>83</v>
      </c>
      <c r="D14" s="18" t="s">
        <v>115</v>
      </c>
      <c r="E14" s="20" t="s">
        <v>85</v>
      </c>
      <c r="F14" s="20">
        <v>100.0</v>
      </c>
      <c r="G14" s="21">
        <v>61.0</v>
      </c>
      <c r="H14" s="21">
        <v>1.14</v>
      </c>
      <c r="I14" s="21">
        <v>14.66</v>
      </c>
      <c r="J14" s="21">
        <v>0.52</v>
      </c>
      <c r="K14" s="21">
        <v>3.0</v>
      </c>
      <c r="L14" s="21">
        <v>8.99</v>
      </c>
      <c r="M14" s="21">
        <v>0.0</v>
      </c>
      <c r="N14" s="21">
        <v>4.35</v>
      </c>
      <c r="O14" s="21">
        <v>4.11</v>
      </c>
      <c r="P14" s="21">
        <v>0.53</v>
      </c>
      <c r="Q14" s="21">
        <v>0.03</v>
      </c>
      <c r="R14" s="21">
        <v>0.03</v>
      </c>
      <c r="S14" s="21">
        <v>0.29</v>
      </c>
      <c r="T14" s="21">
        <v>4.0</v>
      </c>
      <c r="U14" s="21">
        <v>52.0</v>
      </c>
      <c r="V14" s="21">
        <v>84.0</v>
      </c>
      <c r="W14" s="22">
        <v>50.0</v>
      </c>
      <c r="X14" s="21">
        <v>4.0</v>
      </c>
      <c r="Y14" s="21">
        <v>52.0</v>
      </c>
      <c r="Z14" s="21">
        <v>0.027</v>
      </c>
      <c r="AA14" s="21">
        <v>0.025</v>
      </c>
      <c r="AB14" s="21">
        <v>0.341</v>
      </c>
      <c r="AC14" s="21">
        <v>0.183</v>
      </c>
      <c r="AD14" s="21">
        <v>0.063</v>
      </c>
      <c r="AE14" s="21">
        <v>0.18</v>
      </c>
      <c r="AF14" s="21">
        <v>25.0</v>
      </c>
      <c r="AG14" s="21">
        <v>0.0</v>
      </c>
      <c r="AH14" s="21">
        <v>92.7</v>
      </c>
      <c r="AI14" s="21">
        <v>0.0</v>
      </c>
      <c r="AJ14" s="21">
        <v>1.46</v>
      </c>
      <c r="AK14" s="21">
        <v>40.3</v>
      </c>
      <c r="AL14" s="21">
        <v>0.0</v>
      </c>
      <c r="AM14" s="21">
        <v>2.2</v>
      </c>
      <c r="AN14" s="21">
        <v>34.0</v>
      </c>
      <c r="AO14" s="21">
        <v>0.31</v>
      </c>
      <c r="AP14" s="21">
        <v>17.0</v>
      </c>
      <c r="AQ14" s="21">
        <v>34.0</v>
      </c>
      <c r="AR14" s="21">
        <v>312.0</v>
      </c>
      <c r="AS14" s="21">
        <v>3.0</v>
      </c>
      <c r="AT14" s="21">
        <v>0.14</v>
      </c>
      <c r="AU14" s="21">
        <v>0.13</v>
      </c>
      <c r="AV14" s="21">
        <v>0.098</v>
      </c>
      <c r="AW14" s="21">
        <v>0.2</v>
      </c>
      <c r="AX14" s="21">
        <v>0.0</v>
      </c>
      <c r="AY14" s="21">
        <v>0.0</v>
      </c>
      <c r="AZ14" s="21">
        <v>0.0</v>
      </c>
      <c r="BA14" s="21">
        <v>122.0</v>
      </c>
      <c r="BB14" s="21">
        <v>122.0</v>
      </c>
      <c r="BC14" s="21">
        <v>0.0</v>
      </c>
      <c r="BD14" s="21">
        <v>0.0</v>
      </c>
      <c r="BE14" s="21">
        <v>0.0</v>
      </c>
      <c r="BF14" s="21">
        <v>160.0</v>
      </c>
      <c r="BG14" s="21">
        <v>862.0</v>
      </c>
      <c r="BH14" s="21">
        <v>13.0</v>
      </c>
      <c r="BI14" s="21">
        <v>19.0</v>
      </c>
      <c r="BJ14" s="21">
        <v>18.0</v>
      </c>
      <c r="BK14" s="21">
        <v>37.0</v>
      </c>
      <c r="BL14" s="21">
        <v>22.0</v>
      </c>
      <c r="BM14" s="21">
        <v>10.0</v>
      </c>
      <c r="BN14" s="21">
        <v>18.0</v>
      </c>
      <c r="BO14" s="21">
        <v>25.0</v>
      </c>
      <c r="BP14" s="21">
        <v>13.0</v>
      </c>
      <c r="BQ14" s="21">
        <v>17.0</v>
      </c>
      <c r="BR14" s="21">
        <v>72.0</v>
      </c>
      <c r="BS14" s="21">
        <v>39.0</v>
      </c>
      <c r="BT14" s="21">
        <v>23.0</v>
      </c>
      <c r="BU14" s="21">
        <v>32.0</v>
      </c>
      <c r="BV14" s="21">
        <v>15.0</v>
      </c>
    </row>
    <row r="15" ht="15.75" customHeight="1">
      <c r="A15" s="18" t="s">
        <v>116</v>
      </c>
      <c r="B15" s="19" t="s">
        <v>117</v>
      </c>
      <c r="C15" s="18" t="s">
        <v>83</v>
      </c>
      <c r="D15" s="18" t="s">
        <v>118</v>
      </c>
      <c r="E15" s="20" t="s">
        <v>85</v>
      </c>
      <c r="F15" s="20">
        <v>100.0</v>
      </c>
      <c r="G15" s="21">
        <v>50.0</v>
      </c>
      <c r="H15" s="21">
        <v>1.1</v>
      </c>
      <c r="I15" s="21">
        <v>11.0</v>
      </c>
      <c r="J15" s="21">
        <v>0.4</v>
      </c>
      <c r="K15" s="21">
        <v>3.0</v>
      </c>
      <c r="L15" s="21">
        <v>7.65</v>
      </c>
      <c r="M15" s="21">
        <v>0.0</v>
      </c>
      <c r="N15" s="21">
        <v>3.1</v>
      </c>
      <c r="O15" s="21">
        <v>2.9</v>
      </c>
      <c r="P15" s="21">
        <v>1.65</v>
      </c>
      <c r="Q15" s="21">
        <v>0.0</v>
      </c>
      <c r="R15" s="21">
        <v>0.0</v>
      </c>
      <c r="S15" s="21">
        <v>0.0</v>
      </c>
      <c r="T15" s="21">
        <v>0.0</v>
      </c>
      <c r="U15" s="21">
        <v>0.0</v>
      </c>
      <c r="V15" s="21">
        <v>85.0</v>
      </c>
      <c r="W15" s="22">
        <v>48.0</v>
      </c>
      <c r="X15" s="21">
        <v>0.0</v>
      </c>
      <c r="Y15" s="21">
        <v>0.0</v>
      </c>
      <c r="Z15" s="21">
        <v>0.0</v>
      </c>
      <c r="AA15" s="21">
        <v>0.045</v>
      </c>
      <c r="AB15" s="21">
        <v>0.43</v>
      </c>
      <c r="AC15" s="21">
        <v>0.219</v>
      </c>
      <c r="AD15" s="21">
        <v>0.042</v>
      </c>
      <c r="AE15" s="21">
        <v>0.0</v>
      </c>
      <c r="AF15" s="21">
        <v>6.0</v>
      </c>
      <c r="AG15" s="21">
        <v>0.0</v>
      </c>
      <c r="AH15" s="21">
        <v>9.0</v>
      </c>
      <c r="AI15" s="21">
        <v>0.0</v>
      </c>
      <c r="AJ15" s="21">
        <v>0.12</v>
      </c>
      <c r="AK15" s="21">
        <v>0.3</v>
      </c>
      <c r="AL15" s="21">
        <v>0.0</v>
      </c>
      <c r="AM15" s="21">
        <v>0.0</v>
      </c>
      <c r="AN15" s="21">
        <v>18.0</v>
      </c>
      <c r="AO15" s="21">
        <v>1.9</v>
      </c>
      <c r="AP15" s="21">
        <v>40.0</v>
      </c>
      <c r="AQ15" s="21">
        <v>22.0</v>
      </c>
      <c r="AR15" s="21">
        <v>272.0</v>
      </c>
      <c r="AS15" s="21">
        <v>9.0</v>
      </c>
      <c r="AT15" s="21">
        <v>0.35</v>
      </c>
      <c r="AU15" s="21">
        <v>0.048</v>
      </c>
      <c r="AV15" s="21">
        <v>0.229</v>
      </c>
      <c r="AW15" s="21">
        <v>0.6</v>
      </c>
      <c r="AX15" s="21">
        <v>0.0</v>
      </c>
      <c r="AY15" s="21">
        <v>0.0</v>
      </c>
      <c r="AZ15" s="21">
        <v>0.0</v>
      </c>
      <c r="BA15" s="21">
        <v>0.0</v>
      </c>
      <c r="BB15" s="21">
        <v>0.0</v>
      </c>
      <c r="BC15" s="21">
        <v>0.0</v>
      </c>
      <c r="BD15" s="21">
        <v>0.0</v>
      </c>
      <c r="BE15" s="21">
        <v>0.0</v>
      </c>
      <c r="BF15" s="21">
        <v>60.0</v>
      </c>
      <c r="BG15" s="21">
        <v>241.0</v>
      </c>
      <c r="BH15" s="21">
        <v>8.0</v>
      </c>
      <c r="BI15" s="21">
        <v>12.0</v>
      </c>
      <c r="BJ15" s="21">
        <v>15.0</v>
      </c>
      <c r="BK15" s="21">
        <v>25.0</v>
      </c>
      <c r="BL15" s="21">
        <v>19.0</v>
      </c>
      <c r="BM15" s="21">
        <v>4.0</v>
      </c>
      <c r="BN15" s="21">
        <v>15.0</v>
      </c>
      <c r="BO15" s="21">
        <v>18.0</v>
      </c>
      <c r="BP15" s="21">
        <v>6.0</v>
      </c>
      <c r="BQ15" s="21">
        <v>20.0</v>
      </c>
      <c r="BR15" s="21">
        <v>50.0</v>
      </c>
      <c r="BS15" s="21">
        <v>30.0</v>
      </c>
      <c r="BT15" s="21">
        <v>12.0</v>
      </c>
      <c r="BU15" s="21">
        <v>18.0</v>
      </c>
      <c r="BV15" s="21">
        <v>12.0</v>
      </c>
    </row>
    <row r="16" ht="15.75" customHeight="1">
      <c r="A16" s="18" t="s">
        <v>119</v>
      </c>
      <c r="B16" s="19" t="s">
        <v>120</v>
      </c>
      <c r="C16" s="18" t="s">
        <v>83</v>
      </c>
      <c r="D16" s="18" t="s">
        <v>121</v>
      </c>
      <c r="E16" s="20" t="s">
        <v>85</v>
      </c>
      <c r="F16" s="20">
        <v>100.0</v>
      </c>
      <c r="G16" s="21">
        <v>97.0</v>
      </c>
      <c r="H16" s="21">
        <v>2.2</v>
      </c>
      <c r="I16" s="21">
        <v>23.38</v>
      </c>
      <c r="J16" s="21">
        <v>0.7</v>
      </c>
      <c r="K16" s="21">
        <v>10.4</v>
      </c>
      <c r="L16" s="21">
        <v>11.2</v>
      </c>
      <c r="M16" s="21">
        <v>0.0</v>
      </c>
      <c r="N16" s="21">
        <v>5.5</v>
      </c>
      <c r="O16" s="21">
        <v>3.5</v>
      </c>
      <c r="P16" s="21">
        <v>2.2</v>
      </c>
      <c r="Q16" s="21">
        <v>0.06</v>
      </c>
      <c r="R16" s="21">
        <v>0.09</v>
      </c>
      <c r="S16" s="21">
        <v>0.41</v>
      </c>
      <c r="T16" s="21">
        <v>64.0</v>
      </c>
      <c r="U16" s="21">
        <v>743.0</v>
      </c>
      <c r="V16" s="21">
        <v>73.0</v>
      </c>
      <c r="W16" s="22">
        <v>30.0</v>
      </c>
      <c r="X16" s="21">
        <v>64.0</v>
      </c>
      <c r="Y16" s="21">
        <v>743.0</v>
      </c>
      <c r="Z16" s="21">
        <v>0.0</v>
      </c>
      <c r="AA16" s="21">
        <v>0.13</v>
      </c>
      <c r="AB16" s="21">
        <v>1.5</v>
      </c>
      <c r="AC16" s="21">
        <v>0.24</v>
      </c>
      <c r="AD16" s="21">
        <v>0.1</v>
      </c>
      <c r="AE16" s="21">
        <v>0.63</v>
      </c>
      <c r="AF16" s="21">
        <v>14.0</v>
      </c>
      <c r="AG16" s="21">
        <v>0.0</v>
      </c>
      <c r="AH16" s="21">
        <v>30.0</v>
      </c>
      <c r="AI16" s="21">
        <v>0.0</v>
      </c>
      <c r="AJ16" s="21">
        <v>0.02</v>
      </c>
      <c r="AK16" s="21">
        <v>0.7</v>
      </c>
      <c r="AL16" s="21">
        <v>0.0</v>
      </c>
      <c r="AM16" s="21">
        <v>7.6</v>
      </c>
      <c r="AN16" s="21">
        <v>12.0</v>
      </c>
      <c r="AO16" s="21">
        <v>1.6</v>
      </c>
      <c r="AP16" s="21">
        <v>29.0</v>
      </c>
      <c r="AQ16" s="21">
        <v>68.0</v>
      </c>
      <c r="AR16" s="21">
        <v>348.0</v>
      </c>
      <c r="AS16" s="21">
        <v>28.0</v>
      </c>
      <c r="AT16" s="21">
        <v>0.1</v>
      </c>
      <c r="AU16" s="21">
        <v>0.086</v>
      </c>
      <c r="AV16" s="21">
        <v>0.105</v>
      </c>
      <c r="AW16" s="21">
        <v>0.6</v>
      </c>
      <c r="AX16" s="21">
        <v>0.0</v>
      </c>
      <c r="AY16" s="21">
        <v>0.0</v>
      </c>
      <c r="AZ16" s="21">
        <v>0.0</v>
      </c>
      <c r="BA16" s="21">
        <v>0.0</v>
      </c>
      <c r="BB16" s="21">
        <v>0.0</v>
      </c>
      <c r="BC16" s="21">
        <v>0.0</v>
      </c>
      <c r="BD16" s="21">
        <v>0.0</v>
      </c>
      <c r="BE16" s="21">
        <v>0.0</v>
      </c>
      <c r="BF16" s="21">
        <v>0.0</v>
      </c>
      <c r="BG16" s="21">
        <v>863.0</v>
      </c>
      <c r="BH16" s="21">
        <v>28.0</v>
      </c>
      <c r="BI16" s="21">
        <v>77.0</v>
      </c>
      <c r="BJ16" s="21">
        <v>50.0</v>
      </c>
      <c r="BK16" s="21">
        <v>101.0</v>
      </c>
      <c r="BL16" s="21">
        <v>66.0</v>
      </c>
      <c r="BM16" s="21">
        <v>17.0</v>
      </c>
      <c r="BN16" s="21">
        <v>50.0</v>
      </c>
      <c r="BO16" s="21">
        <v>74.0</v>
      </c>
      <c r="BP16" s="21">
        <v>38.0</v>
      </c>
      <c r="BQ16" s="21">
        <v>68.0</v>
      </c>
      <c r="BR16" s="21">
        <v>134.0</v>
      </c>
      <c r="BS16" s="21">
        <v>108.0</v>
      </c>
      <c r="BT16" s="21">
        <v>36.0</v>
      </c>
      <c r="BU16" s="21">
        <v>65.0</v>
      </c>
      <c r="BV16" s="21">
        <v>37.0</v>
      </c>
    </row>
    <row r="17" ht="15.75" customHeight="1">
      <c r="A17" s="18" t="s">
        <v>122</v>
      </c>
      <c r="B17" s="19" t="s">
        <v>123</v>
      </c>
      <c r="C17" s="18" t="s">
        <v>83</v>
      </c>
      <c r="D17" s="18" t="s">
        <v>124</v>
      </c>
      <c r="E17" s="20" t="s">
        <v>85</v>
      </c>
      <c r="F17" s="20">
        <v>100.0</v>
      </c>
      <c r="G17" s="21">
        <v>31.0</v>
      </c>
      <c r="H17" s="21">
        <v>1.04</v>
      </c>
      <c r="I17" s="21">
        <v>6.73</v>
      </c>
      <c r="J17" s="21">
        <v>0.33</v>
      </c>
      <c r="K17" s="21">
        <v>2.8</v>
      </c>
      <c r="L17" s="21">
        <v>3.98</v>
      </c>
      <c r="M17" s="21">
        <v>0.0</v>
      </c>
      <c r="N17" s="21">
        <v>2.75</v>
      </c>
      <c r="O17" s="21">
        <v>2.01</v>
      </c>
      <c r="P17" s="21">
        <v>0.6</v>
      </c>
      <c r="Q17" s="21">
        <v>0.04</v>
      </c>
      <c r="R17" s="21">
        <v>0.03</v>
      </c>
      <c r="S17" s="21">
        <v>0.17</v>
      </c>
      <c r="T17" s="21">
        <v>3.0</v>
      </c>
      <c r="U17" s="21">
        <v>28.0</v>
      </c>
      <c r="V17" s="21">
        <v>91.0</v>
      </c>
      <c r="W17" s="22">
        <v>42.0</v>
      </c>
      <c r="X17" s="21">
        <v>3.0</v>
      </c>
      <c r="Y17" s="21">
        <v>28.0</v>
      </c>
      <c r="Z17" s="21">
        <v>0.014</v>
      </c>
      <c r="AA17" s="21">
        <v>0.016</v>
      </c>
      <c r="AB17" s="21">
        <v>0.294</v>
      </c>
      <c r="AC17" s="21">
        <v>0.391</v>
      </c>
      <c r="AD17" s="21">
        <v>0.017</v>
      </c>
      <c r="AE17" s="21">
        <v>0.09</v>
      </c>
      <c r="AF17" s="21">
        <v>12.0</v>
      </c>
      <c r="AG17" s="21">
        <v>0.0</v>
      </c>
      <c r="AH17" s="21">
        <v>34.4</v>
      </c>
      <c r="AI17" s="21">
        <v>0.0</v>
      </c>
      <c r="AJ17" s="21">
        <v>0.15</v>
      </c>
      <c r="AK17" s="21">
        <v>0.1</v>
      </c>
      <c r="AL17" s="21">
        <v>0.0</v>
      </c>
      <c r="AM17" s="21">
        <v>0.0</v>
      </c>
      <c r="AN17" s="21">
        <v>3.0</v>
      </c>
      <c r="AO17" s="21">
        <v>0.08</v>
      </c>
      <c r="AP17" s="21">
        <v>10.0</v>
      </c>
      <c r="AQ17" s="21">
        <v>12.0</v>
      </c>
      <c r="AR17" s="21">
        <v>133.0</v>
      </c>
      <c r="AS17" s="21">
        <v>2.0</v>
      </c>
      <c r="AT17" s="21">
        <v>0.12</v>
      </c>
      <c r="AU17" s="21">
        <v>0.14</v>
      </c>
      <c r="AV17" s="21">
        <v>0.037</v>
      </c>
      <c r="AW17" s="21">
        <v>0.6</v>
      </c>
      <c r="AX17" s="21">
        <v>0.0</v>
      </c>
      <c r="AY17" s="21">
        <v>0.0</v>
      </c>
      <c r="AZ17" s="21">
        <v>0.0</v>
      </c>
      <c r="BA17" s="21">
        <v>0.0</v>
      </c>
      <c r="BB17" s="21">
        <v>66.0</v>
      </c>
      <c r="BC17" s="21">
        <v>0.0</v>
      </c>
      <c r="BD17" s="21">
        <v>0.0</v>
      </c>
      <c r="BE17" s="21">
        <v>0.0</v>
      </c>
      <c r="BF17" s="21">
        <v>143.0</v>
      </c>
      <c r="BG17" s="21">
        <v>843.0</v>
      </c>
      <c r="BH17" s="21">
        <v>9.0</v>
      </c>
      <c r="BI17" s="21">
        <v>27.0</v>
      </c>
      <c r="BJ17" s="21">
        <v>20.0</v>
      </c>
      <c r="BK17" s="21">
        <v>44.0</v>
      </c>
      <c r="BL17" s="21">
        <v>30.0</v>
      </c>
      <c r="BM17" s="21">
        <v>6.0</v>
      </c>
      <c r="BN17" s="21">
        <v>24.0</v>
      </c>
      <c r="BO17" s="21">
        <v>26.0</v>
      </c>
      <c r="BP17" s="21">
        <v>16.0</v>
      </c>
      <c r="BQ17" s="21">
        <v>43.0</v>
      </c>
      <c r="BR17" s="21">
        <v>55.0</v>
      </c>
      <c r="BS17" s="21">
        <v>55.0</v>
      </c>
      <c r="BT17" s="21">
        <v>21.0</v>
      </c>
      <c r="BU17" s="21">
        <v>35.0</v>
      </c>
      <c r="BV17" s="21">
        <v>25.0</v>
      </c>
    </row>
    <row r="18" ht="15.75" customHeight="1">
      <c r="A18" s="18" t="s">
        <v>125</v>
      </c>
      <c r="B18" s="19" t="s">
        <v>126</v>
      </c>
      <c r="C18" s="18" t="s">
        <v>83</v>
      </c>
      <c r="D18" s="18" t="s">
        <v>127</v>
      </c>
      <c r="E18" s="20" t="s">
        <v>85</v>
      </c>
      <c r="F18" s="20">
        <v>100.0</v>
      </c>
      <c r="G18" s="21">
        <v>83.0</v>
      </c>
      <c r="H18" s="21">
        <v>0.44</v>
      </c>
      <c r="I18" s="21">
        <v>19.96</v>
      </c>
      <c r="J18" s="21">
        <v>1.1</v>
      </c>
      <c r="K18" s="21">
        <v>5.3</v>
      </c>
      <c r="L18" s="21">
        <v>16.99</v>
      </c>
      <c r="M18" s="21">
        <v>0.0</v>
      </c>
      <c r="N18" s="21">
        <v>7.5</v>
      </c>
      <c r="O18" s="21">
        <v>6.1</v>
      </c>
      <c r="P18" s="21">
        <v>3.39</v>
      </c>
      <c r="Q18" s="21">
        <v>0.29</v>
      </c>
      <c r="R18" s="21">
        <v>0.18</v>
      </c>
      <c r="S18" s="21">
        <v>0.6</v>
      </c>
      <c r="T18" s="21">
        <v>3.0</v>
      </c>
      <c r="U18" s="21">
        <v>19.0</v>
      </c>
      <c r="V18" s="21">
        <v>78.0</v>
      </c>
      <c r="W18" s="22">
        <v>40.0</v>
      </c>
      <c r="X18" s="21">
        <v>3.0</v>
      </c>
      <c r="Y18" s="21">
        <v>19.0</v>
      </c>
      <c r="Z18" s="21">
        <v>0.0</v>
      </c>
      <c r="AA18" s="21">
        <v>0.023</v>
      </c>
      <c r="AB18" s="21">
        <v>0.19</v>
      </c>
      <c r="AC18" s="21">
        <v>0.252</v>
      </c>
      <c r="AD18" s="21">
        <v>0.037</v>
      </c>
      <c r="AE18" s="21">
        <v>0.0</v>
      </c>
      <c r="AF18" s="21">
        <v>14.0</v>
      </c>
      <c r="AG18" s="21">
        <v>0.0</v>
      </c>
      <c r="AH18" s="21">
        <v>14.7</v>
      </c>
      <c r="AI18" s="21">
        <v>0.0</v>
      </c>
      <c r="AJ18" s="21">
        <v>0.43</v>
      </c>
      <c r="AK18" s="21">
        <v>0.0</v>
      </c>
      <c r="AL18" s="21">
        <v>0.0</v>
      </c>
      <c r="AM18" s="21">
        <v>0.0</v>
      </c>
      <c r="AN18" s="21">
        <v>21.0</v>
      </c>
      <c r="AO18" s="21">
        <v>0.8</v>
      </c>
      <c r="AP18" s="21">
        <v>12.0</v>
      </c>
      <c r="AQ18" s="21">
        <v>12.0</v>
      </c>
      <c r="AR18" s="21">
        <v>193.0</v>
      </c>
      <c r="AS18" s="21">
        <v>12.0</v>
      </c>
      <c r="AT18" s="21">
        <v>0.1</v>
      </c>
      <c r="AU18" s="21">
        <v>0.086</v>
      </c>
      <c r="AV18" s="21">
        <v>0.15</v>
      </c>
      <c r="AW18" s="21">
        <v>0.6</v>
      </c>
      <c r="AX18" s="21">
        <v>0.0</v>
      </c>
      <c r="AY18" s="21">
        <v>0.0</v>
      </c>
      <c r="AZ18" s="21">
        <v>0.0</v>
      </c>
      <c r="BA18" s="21">
        <v>0.0</v>
      </c>
      <c r="BB18" s="21">
        <v>61.0</v>
      </c>
      <c r="BC18" s="21">
        <v>0.0</v>
      </c>
      <c r="BD18" s="21">
        <v>0.0</v>
      </c>
      <c r="BE18" s="21">
        <v>0.0</v>
      </c>
      <c r="BF18" s="21">
        <v>61.0</v>
      </c>
      <c r="BG18" s="21">
        <v>580.0</v>
      </c>
      <c r="BH18" s="21">
        <v>0.0</v>
      </c>
      <c r="BI18" s="21">
        <v>0.0</v>
      </c>
      <c r="BJ18" s="21">
        <v>0.0</v>
      </c>
      <c r="BK18" s="21">
        <v>0.0</v>
      </c>
      <c r="BL18" s="21">
        <v>0.0</v>
      </c>
      <c r="BM18" s="21">
        <v>0.0</v>
      </c>
      <c r="BN18" s="21">
        <v>0.0</v>
      </c>
      <c r="BO18" s="21">
        <v>0.0</v>
      </c>
      <c r="BP18" s="21">
        <v>0.0</v>
      </c>
      <c r="BQ18" s="21">
        <v>0.0</v>
      </c>
      <c r="BR18" s="21">
        <v>0.0</v>
      </c>
      <c r="BS18" s="21">
        <v>0.0</v>
      </c>
      <c r="BT18" s="21">
        <v>0.0</v>
      </c>
      <c r="BU18" s="21">
        <v>0.0</v>
      </c>
      <c r="BV18" s="21">
        <v>0.0</v>
      </c>
    </row>
    <row r="19" ht="15.75" customHeight="1">
      <c r="A19" s="23" t="s">
        <v>128</v>
      </c>
      <c r="B19" s="24" t="s">
        <v>129</v>
      </c>
      <c r="C19" s="23" t="s">
        <v>130</v>
      </c>
      <c r="D19" s="23" t="s">
        <v>131</v>
      </c>
      <c r="E19" s="25" t="s">
        <v>85</v>
      </c>
      <c r="F19" s="25">
        <v>100.0</v>
      </c>
      <c r="G19" s="26">
        <v>47.0</v>
      </c>
      <c r="H19" s="26">
        <v>0.94</v>
      </c>
      <c r="I19" s="26">
        <v>11.75</v>
      </c>
      <c r="J19" s="26">
        <v>0.12</v>
      </c>
      <c r="K19" s="26">
        <v>2.4</v>
      </c>
      <c r="L19" s="26">
        <v>9.35</v>
      </c>
      <c r="M19" s="26">
        <v>0.0</v>
      </c>
      <c r="N19" s="26">
        <v>2.25</v>
      </c>
      <c r="O19" s="26">
        <v>2.61</v>
      </c>
      <c r="P19" s="26">
        <v>4.49</v>
      </c>
      <c r="Q19" s="26">
        <v>0.015</v>
      </c>
      <c r="R19" s="26">
        <v>0.023</v>
      </c>
      <c r="S19" s="26">
        <v>0.025</v>
      </c>
      <c r="T19" s="26">
        <v>11.0</v>
      </c>
      <c r="U19" s="26">
        <v>71.0</v>
      </c>
      <c r="V19" s="26">
        <v>87.0</v>
      </c>
      <c r="W19" s="27">
        <v>43.0</v>
      </c>
      <c r="X19" s="26">
        <v>11.0</v>
      </c>
      <c r="Y19" s="26">
        <v>71.0</v>
      </c>
      <c r="Z19" s="26">
        <v>0.087</v>
      </c>
      <c r="AA19" s="26">
        <v>0.04</v>
      </c>
      <c r="AB19" s="26">
        <v>0.282</v>
      </c>
      <c r="AC19" s="26">
        <v>0.25</v>
      </c>
      <c r="AD19" s="26">
        <v>0.06</v>
      </c>
      <c r="AE19" s="26">
        <v>0.022</v>
      </c>
      <c r="AF19" s="26">
        <v>30.0</v>
      </c>
      <c r="AG19" s="26">
        <v>0.0</v>
      </c>
      <c r="AH19" s="26">
        <v>53.2</v>
      </c>
      <c r="AI19" s="26">
        <v>0.0</v>
      </c>
      <c r="AJ19" s="26">
        <v>0.18</v>
      </c>
      <c r="AK19" s="26">
        <v>0.0</v>
      </c>
      <c r="AL19" s="26">
        <v>0.0</v>
      </c>
      <c r="AM19" s="26">
        <v>8.4</v>
      </c>
      <c r="AN19" s="26">
        <v>40.0</v>
      </c>
      <c r="AO19" s="26">
        <v>0.1</v>
      </c>
      <c r="AP19" s="26">
        <v>10.0</v>
      </c>
      <c r="AQ19" s="26">
        <v>14.0</v>
      </c>
      <c r="AR19" s="26">
        <v>181.0</v>
      </c>
      <c r="AS19" s="26">
        <v>0.0</v>
      </c>
      <c r="AT19" s="26">
        <v>0.07</v>
      </c>
      <c r="AU19" s="26">
        <v>0.045</v>
      </c>
      <c r="AV19" s="26">
        <v>0.024</v>
      </c>
      <c r="AW19" s="26">
        <v>0.5</v>
      </c>
      <c r="AX19" s="26">
        <v>4.4</v>
      </c>
      <c r="AY19" s="26">
        <v>0.0</v>
      </c>
      <c r="AZ19" s="26">
        <v>0.0</v>
      </c>
      <c r="BA19" s="26">
        <v>0.0</v>
      </c>
      <c r="BB19" s="26">
        <v>129.0</v>
      </c>
      <c r="BC19" s="26">
        <v>0.0</v>
      </c>
      <c r="BD19" s="26">
        <v>0.0</v>
      </c>
      <c r="BE19" s="26">
        <v>0.0</v>
      </c>
      <c r="BF19" s="26">
        <v>950.0</v>
      </c>
      <c r="BG19" s="26">
        <v>2103.0</v>
      </c>
      <c r="BH19" s="26">
        <v>9.0</v>
      </c>
      <c r="BI19" s="26">
        <v>14.0</v>
      </c>
      <c r="BJ19" s="26">
        <v>17.0</v>
      </c>
      <c r="BK19" s="26">
        <v>19.0</v>
      </c>
      <c r="BL19" s="26">
        <v>19.0</v>
      </c>
      <c r="BM19" s="26">
        <v>4.0</v>
      </c>
      <c r="BN19" s="26">
        <v>21.0</v>
      </c>
      <c r="BO19" s="26">
        <v>22.0</v>
      </c>
      <c r="BP19" s="26">
        <v>11.0</v>
      </c>
      <c r="BQ19" s="26">
        <v>64.0</v>
      </c>
      <c r="BR19" s="26">
        <v>52.0</v>
      </c>
      <c r="BS19" s="26">
        <v>47.0</v>
      </c>
      <c r="BT19" s="26">
        <v>19.0</v>
      </c>
      <c r="BU19" s="26">
        <v>30.0</v>
      </c>
      <c r="BV19" s="26">
        <v>10.0</v>
      </c>
    </row>
    <row r="20" ht="15.75" customHeight="1">
      <c r="A20" s="23" t="s">
        <v>132</v>
      </c>
      <c r="B20" s="24" t="s">
        <v>133</v>
      </c>
      <c r="C20" s="23" t="s">
        <v>130</v>
      </c>
      <c r="D20" s="23" t="s">
        <v>134</v>
      </c>
      <c r="E20" s="25" t="s">
        <v>85</v>
      </c>
      <c r="F20" s="25">
        <v>100.0</v>
      </c>
      <c r="G20" s="26">
        <v>29.0</v>
      </c>
      <c r="H20" s="26">
        <v>1.1</v>
      </c>
      <c r="I20" s="26">
        <v>9.32</v>
      </c>
      <c r="J20" s="26">
        <v>0.3</v>
      </c>
      <c r="K20" s="26">
        <v>2.8</v>
      </c>
      <c r="L20" s="26">
        <v>2.5</v>
      </c>
      <c r="M20" s="26">
        <v>0.0</v>
      </c>
      <c r="N20" s="26">
        <v>1.3</v>
      </c>
      <c r="O20" s="26">
        <v>1.0</v>
      </c>
      <c r="P20" s="26">
        <v>0.15</v>
      </c>
      <c r="Q20" s="26">
        <v>0.04</v>
      </c>
      <c r="R20" s="26">
        <v>0.01</v>
      </c>
      <c r="S20" s="26">
        <v>0.09</v>
      </c>
      <c r="T20" s="26">
        <v>1.0</v>
      </c>
      <c r="U20" s="26">
        <v>3.0</v>
      </c>
      <c r="V20" s="26">
        <v>89.0</v>
      </c>
      <c r="W20" s="27">
        <v>20.0</v>
      </c>
      <c r="X20" s="26">
        <v>0.0</v>
      </c>
      <c r="Y20" s="26">
        <v>0.0</v>
      </c>
      <c r="Z20" s="26">
        <v>0.04</v>
      </c>
      <c r="AA20" s="26">
        <v>0.02</v>
      </c>
      <c r="AB20" s="26">
        <v>0.1</v>
      </c>
      <c r="AC20" s="26">
        <v>0.19</v>
      </c>
      <c r="AD20" s="26">
        <v>0.08</v>
      </c>
      <c r="AE20" s="26">
        <v>0.0</v>
      </c>
      <c r="AF20" s="26">
        <v>11.0</v>
      </c>
      <c r="AG20" s="26">
        <v>0.0</v>
      </c>
      <c r="AH20" s="26">
        <v>53.0</v>
      </c>
      <c r="AI20" s="26">
        <v>0.0</v>
      </c>
      <c r="AJ20" s="26">
        <v>0.15</v>
      </c>
      <c r="AK20" s="26">
        <v>0.0</v>
      </c>
      <c r="AL20" s="26">
        <v>0.0</v>
      </c>
      <c r="AM20" s="26">
        <v>5.1</v>
      </c>
      <c r="AN20" s="26">
        <v>26.0</v>
      </c>
      <c r="AO20" s="26">
        <v>0.6</v>
      </c>
      <c r="AP20" s="26">
        <v>8.0</v>
      </c>
      <c r="AQ20" s="26">
        <v>16.0</v>
      </c>
      <c r="AR20" s="26">
        <v>138.0</v>
      </c>
      <c r="AS20" s="26">
        <v>2.0</v>
      </c>
      <c r="AT20" s="26">
        <v>0.06</v>
      </c>
      <c r="AU20" s="26">
        <v>0.037</v>
      </c>
      <c r="AV20" s="26">
        <v>0.03</v>
      </c>
      <c r="AW20" s="26">
        <v>0.4</v>
      </c>
      <c r="AX20" s="26">
        <v>0.0</v>
      </c>
      <c r="AY20" s="26">
        <v>0.0</v>
      </c>
      <c r="AZ20" s="26">
        <v>0.0</v>
      </c>
      <c r="BA20" s="26">
        <v>0.0</v>
      </c>
      <c r="BB20" s="26">
        <v>0.0</v>
      </c>
      <c r="BC20" s="26">
        <v>0.1</v>
      </c>
      <c r="BD20" s="26">
        <v>0.0</v>
      </c>
      <c r="BE20" s="26">
        <v>0.0</v>
      </c>
      <c r="BF20" s="26">
        <v>745.0</v>
      </c>
      <c r="BG20" s="26">
        <v>1225.0</v>
      </c>
      <c r="BH20" s="26">
        <v>4.0</v>
      </c>
      <c r="BI20" s="26">
        <v>9.0</v>
      </c>
      <c r="BJ20" s="26">
        <v>12.0</v>
      </c>
      <c r="BK20" s="26">
        <v>18.0</v>
      </c>
      <c r="BL20" s="26">
        <v>11.0</v>
      </c>
      <c r="BM20" s="26">
        <v>3.0</v>
      </c>
      <c r="BN20" s="26">
        <v>12.0</v>
      </c>
      <c r="BO20" s="26">
        <v>15.0</v>
      </c>
      <c r="BP20" s="26">
        <v>7.0</v>
      </c>
      <c r="BQ20" s="26">
        <v>11.0</v>
      </c>
      <c r="BR20" s="26">
        <v>26.0</v>
      </c>
      <c r="BS20" s="26">
        <v>24.0</v>
      </c>
      <c r="BT20" s="26">
        <v>9.0</v>
      </c>
      <c r="BU20" s="26">
        <v>12.0</v>
      </c>
      <c r="BV20" s="26">
        <v>8.0</v>
      </c>
    </row>
    <row r="21" ht="15.75" customHeight="1">
      <c r="A21" s="23" t="s">
        <v>135</v>
      </c>
      <c r="B21" s="24" t="s">
        <v>136</v>
      </c>
      <c r="C21" s="23" t="s">
        <v>130</v>
      </c>
      <c r="D21" s="23" t="s">
        <v>137</v>
      </c>
      <c r="E21" s="25" t="s">
        <v>85</v>
      </c>
      <c r="F21" s="25">
        <v>100.0</v>
      </c>
      <c r="G21" s="26">
        <v>30.0</v>
      </c>
      <c r="H21" s="26">
        <v>0.7</v>
      </c>
      <c r="I21" s="26">
        <v>10.54</v>
      </c>
      <c r="J21" s="26">
        <v>0.2</v>
      </c>
      <c r="K21" s="26">
        <v>2.8</v>
      </c>
      <c r="L21" s="26">
        <v>1.69</v>
      </c>
      <c r="M21" s="26">
        <v>0.0</v>
      </c>
      <c r="N21" s="26">
        <v>0.61</v>
      </c>
      <c r="O21" s="26">
        <v>0.66</v>
      </c>
      <c r="P21" s="26">
        <v>0.43</v>
      </c>
      <c r="Q21" s="26">
        <v>0.023</v>
      </c>
      <c r="R21" s="26">
        <v>0.02</v>
      </c>
      <c r="S21" s="26">
        <v>0.059</v>
      </c>
      <c r="T21" s="26">
        <v>1.0</v>
      </c>
      <c r="U21" s="26">
        <v>16.0</v>
      </c>
      <c r="V21" s="26">
        <v>88.0</v>
      </c>
      <c r="W21" s="27">
        <v>25.0</v>
      </c>
      <c r="X21" s="26">
        <v>1.0</v>
      </c>
      <c r="Y21" s="26">
        <v>16.0</v>
      </c>
      <c r="Z21" s="26">
        <v>0.03</v>
      </c>
      <c r="AA21" s="26">
        <v>0.02</v>
      </c>
      <c r="AB21" s="26">
        <v>0.2</v>
      </c>
      <c r="AC21" s="26">
        <v>0.217</v>
      </c>
      <c r="AD21" s="26">
        <v>0.043</v>
      </c>
      <c r="AE21" s="26">
        <v>0.0</v>
      </c>
      <c r="AF21" s="26">
        <v>8.0</v>
      </c>
      <c r="AG21" s="26">
        <v>0.0</v>
      </c>
      <c r="AH21" s="26">
        <v>29.1</v>
      </c>
      <c r="AI21" s="26">
        <v>0.0</v>
      </c>
      <c r="AJ21" s="26">
        <v>0.2</v>
      </c>
      <c r="AK21" s="26">
        <v>0.6</v>
      </c>
      <c r="AL21" s="26">
        <v>0.0</v>
      </c>
      <c r="AM21" s="26">
        <v>5.1</v>
      </c>
      <c r="AN21" s="26">
        <v>33.0</v>
      </c>
      <c r="AO21" s="26">
        <v>0.6</v>
      </c>
      <c r="AP21" s="26">
        <v>6.0</v>
      </c>
      <c r="AQ21" s="26">
        <v>18.0</v>
      </c>
      <c r="AR21" s="26">
        <v>102.0</v>
      </c>
      <c r="AS21" s="26">
        <v>2.0</v>
      </c>
      <c r="AT21" s="26">
        <v>0.11</v>
      </c>
      <c r="AU21" s="26">
        <v>0.065</v>
      </c>
      <c r="AV21" s="26">
        <v>0.008</v>
      </c>
      <c r="AW21" s="26">
        <v>0.4</v>
      </c>
      <c r="AX21" s="26">
        <v>0.0</v>
      </c>
      <c r="AY21" s="26">
        <v>0.0</v>
      </c>
      <c r="AZ21" s="26">
        <v>0.0</v>
      </c>
      <c r="BA21" s="26">
        <v>0.0</v>
      </c>
      <c r="BB21" s="26">
        <v>0.0</v>
      </c>
      <c r="BC21" s="26">
        <v>0.0</v>
      </c>
      <c r="BD21" s="26">
        <v>0.0</v>
      </c>
      <c r="BE21" s="26">
        <v>0.0</v>
      </c>
      <c r="BF21" s="26">
        <v>230.0</v>
      </c>
      <c r="BG21" s="26">
        <v>576.0</v>
      </c>
      <c r="BH21" s="26">
        <v>3.0</v>
      </c>
      <c r="BI21" s="26">
        <v>8.0</v>
      </c>
      <c r="BJ21" s="26">
        <v>9.0</v>
      </c>
      <c r="BK21" s="26">
        <v>14.0</v>
      </c>
      <c r="BL21" s="26">
        <v>9.0</v>
      </c>
      <c r="BM21" s="26">
        <v>3.0</v>
      </c>
      <c r="BN21" s="26">
        <v>9.0</v>
      </c>
      <c r="BO21" s="26">
        <v>12.0</v>
      </c>
      <c r="BP21" s="26">
        <v>6.0</v>
      </c>
      <c r="BQ21" s="26">
        <v>8.0</v>
      </c>
      <c r="BR21" s="26">
        <v>28.0</v>
      </c>
      <c r="BS21" s="26">
        <v>24.0</v>
      </c>
      <c r="BT21" s="26">
        <v>8.0</v>
      </c>
      <c r="BU21" s="26">
        <v>11.0</v>
      </c>
      <c r="BV21" s="26">
        <v>6.0</v>
      </c>
    </row>
    <row r="22" ht="15.75" customHeight="1">
      <c r="A22" s="23" t="s">
        <v>138</v>
      </c>
      <c r="B22" s="24" t="s">
        <v>139</v>
      </c>
      <c r="C22" s="23" t="s">
        <v>130</v>
      </c>
      <c r="D22" s="23" t="s">
        <v>140</v>
      </c>
      <c r="E22" s="25" t="s">
        <v>85</v>
      </c>
      <c r="F22" s="25">
        <v>100.0</v>
      </c>
      <c r="G22" s="26">
        <v>42.0</v>
      </c>
      <c r="H22" s="26">
        <v>0.77</v>
      </c>
      <c r="I22" s="26">
        <v>10.66</v>
      </c>
      <c r="J22" s="26">
        <v>0.14</v>
      </c>
      <c r="K22" s="26">
        <v>1.6</v>
      </c>
      <c r="L22" s="26">
        <v>6.89</v>
      </c>
      <c r="M22" s="26">
        <v>0.0</v>
      </c>
      <c r="N22" s="26">
        <v>1.77</v>
      </c>
      <c r="O22" s="26">
        <v>1.61</v>
      </c>
      <c r="P22" s="26">
        <v>3.51</v>
      </c>
      <c r="Q22" s="26">
        <v>0.02</v>
      </c>
      <c r="R22" s="26">
        <v>0.02</v>
      </c>
      <c r="S22" s="26">
        <v>0.04</v>
      </c>
      <c r="T22" s="26">
        <v>11.0</v>
      </c>
      <c r="U22" s="26">
        <v>148.0</v>
      </c>
      <c r="V22" s="26">
        <v>91.0</v>
      </c>
      <c r="W22" s="27">
        <v>25.0</v>
      </c>
      <c r="X22" s="26">
        <v>11.0</v>
      </c>
      <c r="Y22" s="26">
        <v>148.0</v>
      </c>
      <c r="Z22" s="26">
        <v>0.043</v>
      </c>
      <c r="AA22" s="26">
        <v>0.031</v>
      </c>
      <c r="AB22" s="26">
        <v>0.204</v>
      </c>
      <c r="AC22" s="26">
        <v>0.262</v>
      </c>
      <c r="AD22" s="26">
        <v>0.053</v>
      </c>
      <c r="AE22" s="26">
        <v>0.019</v>
      </c>
      <c r="AF22" s="26">
        <v>13.0</v>
      </c>
      <c r="AG22" s="26">
        <v>0.0</v>
      </c>
      <c r="AH22" s="26">
        <v>31.2</v>
      </c>
      <c r="AI22" s="26">
        <v>0.0</v>
      </c>
      <c r="AJ22" s="26">
        <v>0.13</v>
      </c>
      <c r="AK22" s="26">
        <v>0.0</v>
      </c>
      <c r="AL22" s="26">
        <v>0.0</v>
      </c>
      <c r="AM22" s="26">
        <v>7.7</v>
      </c>
      <c r="AN22" s="26">
        <v>22.0</v>
      </c>
      <c r="AO22" s="26">
        <v>0.08</v>
      </c>
      <c r="AP22" s="26">
        <v>9.0</v>
      </c>
      <c r="AQ22" s="26">
        <v>18.0</v>
      </c>
      <c r="AR22" s="26">
        <v>135.0</v>
      </c>
      <c r="AS22" s="26">
        <v>0.0</v>
      </c>
      <c r="AT22" s="26">
        <v>0.07</v>
      </c>
      <c r="AU22" s="26">
        <v>0.048</v>
      </c>
      <c r="AV22" s="26">
        <v>0.013</v>
      </c>
      <c r="AW22" s="26">
        <v>1.0</v>
      </c>
      <c r="AX22" s="26">
        <v>0.0</v>
      </c>
      <c r="AY22" s="26">
        <v>0.0</v>
      </c>
      <c r="AZ22" s="26">
        <v>0.0</v>
      </c>
      <c r="BA22" s="26">
        <v>1332.0</v>
      </c>
      <c r="BB22" s="26">
        <v>0.0</v>
      </c>
      <c r="BC22" s="26">
        <v>0.0</v>
      </c>
      <c r="BD22" s="26">
        <v>0.0</v>
      </c>
      <c r="BE22" s="26">
        <v>0.0</v>
      </c>
      <c r="BF22" s="26">
        <v>700.0</v>
      </c>
      <c r="BG22" s="26">
        <v>1580.0</v>
      </c>
      <c r="BH22" s="26">
        <v>7.0</v>
      </c>
      <c r="BI22" s="26">
        <v>11.0</v>
      </c>
      <c r="BJ22" s="26">
        <v>14.0</v>
      </c>
      <c r="BK22" s="26">
        <v>16.0</v>
      </c>
      <c r="BL22" s="26">
        <v>14.0</v>
      </c>
      <c r="BM22" s="26">
        <v>4.0</v>
      </c>
      <c r="BN22" s="26">
        <v>14.0</v>
      </c>
      <c r="BO22" s="26">
        <v>16.0</v>
      </c>
      <c r="BP22" s="26">
        <v>9.0</v>
      </c>
      <c r="BQ22" s="26">
        <v>27.0</v>
      </c>
      <c r="BR22" s="26">
        <v>48.0</v>
      </c>
      <c r="BS22" s="26">
        <v>40.0</v>
      </c>
      <c r="BT22" s="26">
        <v>15.0</v>
      </c>
      <c r="BU22" s="26">
        <v>23.0</v>
      </c>
      <c r="BV22" s="26">
        <v>10.0</v>
      </c>
    </row>
    <row r="23" ht="15.75" customHeight="1">
      <c r="A23" s="23" t="s">
        <v>141</v>
      </c>
      <c r="B23" s="24" t="s">
        <v>142</v>
      </c>
      <c r="C23" s="23" t="s">
        <v>130</v>
      </c>
      <c r="D23" s="23" t="s">
        <v>143</v>
      </c>
      <c r="E23" s="25" t="s">
        <v>85</v>
      </c>
      <c r="F23" s="25">
        <v>100.0</v>
      </c>
      <c r="G23" s="26">
        <v>53.0</v>
      </c>
      <c r="H23" s="26">
        <v>0.81</v>
      </c>
      <c r="I23" s="26">
        <v>13.34</v>
      </c>
      <c r="J23" s="26">
        <v>0.31</v>
      </c>
      <c r="K23" s="26">
        <v>1.8</v>
      </c>
      <c r="L23" s="26">
        <v>10.58</v>
      </c>
      <c r="M23" s="26">
        <v>0.0</v>
      </c>
      <c r="N23" s="26">
        <v>2.4</v>
      </c>
      <c r="O23" s="26">
        <v>2.0</v>
      </c>
      <c r="P23" s="26">
        <v>6.18</v>
      </c>
      <c r="Q23" s="26">
        <v>0.04</v>
      </c>
      <c r="R23" s="26">
        <v>0.06</v>
      </c>
      <c r="S23" s="26">
        <v>0.06</v>
      </c>
      <c r="T23" s="26">
        <v>34.0</v>
      </c>
      <c r="U23" s="26">
        <v>155.0</v>
      </c>
      <c r="V23" s="26">
        <v>85.0</v>
      </c>
      <c r="W23" s="27">
        <v>47.0</v>
      </c>
      <c r="X23" s="26">
        <v>34.0</v>
      </c>
      <c r="Y23" s="26">
        <v>155.0</v>
      </c>
      <c r="Z23" s="26">
        <v>0.058</v>
      </c>
      <c r="AA23" s="26">
        <v>0.036</v>
      </c>
      <c r="AB23" s="26">
        <v>0.376</v>
      </c>
      <c r="AC23" s="26">
        <v>0.22</v>
      </c>
      <c r="AD23" s="26">
        <v>0.078</v>
      </c>
      <c r="AE23" s="26">
        <v>0.016</v>
      </c>
      <c r="AF23" s="26">
        <v>16.0</v>
      </c>
      <c r="AG23" s="26">
        <v>0.0</v>
      </c>
      <c r="AH23" s="26">
        <v>26.7</v>
      </c>
      <c r="AI23" s="26">
        <v>0.0</v>
      </c>
      <c r="AJ23" s="26">
        <v>0.2</v>
      </c>
      <c r="AK23" s="26">
        <v>0.0</v>
      </c>
      <c r="AL23" s="26">
        <v>0.0</v>
      </c>
      <c r="AM23" s="26">
        <v>10.2</v>
      </c>
      <c r="AN23" s="26">
        <v>37.0</v>
      </c>
      <c r="AO23" s="26">
        <v>0.15</v>
      </c>
      <c r="AP23" s="26">
        <v>12.0</v>
      </c>
      <c r="AQ23" s="26">
        <v>20.0</v>
      </c>
      <c r="AR23" s="26">
        <v>166.0</v>
      </c>
      <c r="AS23" s="26">
        <v>2.0</v>
      </c>
      <c r="AT23" s="26">
        <v>0.07</v>
      </c>
      <c r="AU23" s="26">
        <v>0.042</v>
      </c>
      <c r="AV23" s="26">
        <v>0.039</v>
      </c>
      <c r="AW23" s="26">
        <v>0.1</v>
      </c>
      <c r="AX23" s="26">
        <v>0.0</v>
      </c>
      <c r="AY23" s="26">
        <v>0.0</v>
      </c>
      <c r="AZ23" s="26">
        <v>0.0</v>
      </c>
      <c r="BA23" s="26">
        <v>0.0</v>
      </c>
      <c r="BB23" s="26">
        <v>155.0</v>
      </c>
      <c r="BC23" s="26">
        <v>0.1</v>
      </c>
      <c r="BD23" s="26">
        <v>0.0</v>
      </c>
      <c r="BE23" s="26">
        <v>0.0</v>
      </c>
      <c r="BF23" s="26">
        <v>407.0</v>
      </c>
      <c r="BG23" s="26">
        <v>1627.0</v>
      </c>
      <c r="BH23" s="26">
        <v>5.0</v>
      </c>
      <c r="BI23" s="26">
        <v>12.0</v>
      </c>
      <c r="BJ23" s="26">
        <v>15.0</v>
      </c>
      <c r="BK23" s="26">
        <v>21.0</v>
      </c>
      <c r="BL23" s="26">
        <v>15.0</v>
      </c>
      <c r="BM23" s="26">
        <v>4.0</v>
      </c>
      <c r="BN23" s="26">
        <v>16.0</v>
      </c>
      <c r="BO23" s="26">
        <v>19.0</v>
      </c>
      <c r="BP23" s="26">
        <v>10.0</v>
      </c>
      <c r="BQ23" s="26">
        <v>18.0</v>
      </c>
      <c r="BR23" s="26">
        <v>49.0</v>
      </c>
      <c r="BS23" s="26">
        <v>37.0</v>
      </c>
      <c r="BT23" s="26">
        <v>17.0</v>
      </c>
      <c r="BU23" s="26">
        <v>24.0</v>
      </c>
      <c r="BV23" s="26">
        <v>11.0</v>
      </c>
    </row>
    <row r="24" ht="15.75" customHeight="1">
      <c r="A24" s="23" t="s">
        <v>144</v>
      </c>
      <c r="B24" s="24" t="s">
        <v>145</v>
      </c>
      <c r="C24" s="23" t="s">
        <v>130</v>
      </c>
      <c r="D24" s="23" t="s">
        <v>146</v>
      </c>
      <c r="E24" s="25" t="s">
        <v>85</v>
      </c>
      <c r="F24" s="25">
        <v>100.0</v>
      </c>
      <c r="G24" s="26">
        <v>43.0</v>
      </c>
      <c r="H24" s="26">
        <v>0.8</v>
      </c>
      <c r="I24" s="26">
        <v>9.3</v>
      </c>
      <c r="J24" s="26">
        <v>0.3</v>
      </c>
      <c r="K24" s="26">
        <v>0.9</v>
      </c>
      <c r="L24" s="26">
        <v>8.4</v>
      </c>
      <c r="M24" s="26">
        <v>0.0</v>
      </c>
      <c r="N24" s="26">
        <v>0.0</v>
      </c>
      <c r="O24" s="26">
        <v>0.0</v>
      </c>
      <c r="P24" s="26">
        <v>0.0</v>
      </c>
      <c r="Q24" s="26">
        <v>0.0</v>
      </c>
      <c r="R24" s="26">
        <v>0.02</v>
      </c>
      <c r="S24" s="26">
        <v>0.04</v>
      </c>
      <c r="T24" s="26">
        <v>0.0</v>
      </c>
      <c r="U24" s="26">
        <v>0.0</v>
      </c>
      <c r="V24" s="26">
        <v>88.0</v>
      </c>
      <c r="W24" s="27">
        <v>35.0</v>
      </c>
      <c r="X24" s="26">
        <v>0.0</v>
      </c>
      <c r="Y24" s="26">
        <v>0.0</v>
      </c>
      <c r="Z24" s="26">
        <v>0.04</v>
      </c>
      <c r="AA24" s="26">
        <v>0.03</v>
      </c>
      <c r="AB24" s="26">
        <v>0.2</v>
      </c>
      <c r="AC24" s="26">
        <v>0.2</v>
      </c>
      <c r="AD24" s="26">
        <v>0.05</v>
      </c>
      <c r="AE24" s="26">
        <v>0.0</v>
      </c>
      <c r="AF24" s="26">
        <v>20.0</v>
      </c>
      <c r="AG24" s="26">
        <v>0.0</v>
      </c>
      <c r="AH24" s="26">
        <v>50.0</v>
      </c>
      <c r="AI24" s="26">
        <v>0.0</v>
      </c>
      <c r="AJ24" s="26">
        <v>0.24</v>
      </c>
      <c r="AK24" s="26">
        <v>0.4</v>
      </c>
      <c r="AL24" s="26">
        <v>0.0</v>
      </c>
      <c r="AM24" s="26">
        <v>5.0</v>
      </c>
      <c r="AN24" s="26">
        <v>40.0</v>
      </c>
      <c r="AO24" s="26">
        <v>0.7</v>
      </c>
      <c r="AP24" s="26">
        <v>11.0</v>
      </c>
      <c r="AQ24" s="26">
        <v>20.0</v>
      </c>
      <c r="AR24" s="26">
        <v>490.0</v>
      </c>
      <c r="AS24" s="26">
        <v>3.0</v>
      </c>
      <c r="AT24" s="26">
        <v>0.1</v>
      </c>
      <c r="AU24" s="26">
        <v>0.07</v>
      </c>
      <c r="AV24" s="26">
        <v>0.04</v>
      </c>
      <c r="AW24" s="26">
        <v>0.3</v>
      </c>
      <c r="AX24" s="26">
        <v>0.0</v>
      </c>
      <c r="AY24" s="26">
        <v>0.0</v>
      </c>
      <c r="AZ24" s="26">
        <v>0.0</v>
      </c>
      <c r="BA24" s="26">
        <v>0.0</v>
      </c>
      <c r="BB24" s="26">
        <v>0.0</v>
      </c>
      <c r="BC24" s="26">
        <v>0.0</v>
      </c>
      <c r="BD24" s="26">
        <v>0.0</v>
      </c>
      <c r="BE24" s="26">
        <v>0.0</v>
      </c>
      <c r="BF24" s="26">
        <v>200.0</v>
      </c>
      <c r="BG24" s="26">
        <v>876.0</v>
      </c>
      <c r="BH24" s="26">
        <v>6.0</v>
      </c>
      <c r="BI24" s="26">
        <v>9.0</v>
      </c>
      <c r="BJ24" s="26">
        <v>11.0</v>
      </c>
      <c r="BK24" s="26">
        <v>14.0</v>
      </c>
      <c r="BL24" s="26">
        <v>11.0</v>
      </c>
      <c r="BM24" s="26">
        <v>3.0</v>
      </c>
      <c r="BN24" s="26">
        <v>10.0</v>
      </c>
      <c r="BO24" s="26">
        <v>14.0</v>
      </c>
      <c r="BP24" s="26">
        <v>7.0</v>
      </c>
      <c r="BQ24" s="26">
        <v>11.0</v>
      </c>
      <c r="BR24" s="26">
        <v>28.0</v>
      </c>
      <c r="BS24" s="26">
        <v>22.0</v>
      </c>
      <c r="BT24" s="26">
        <v>8.0</v>
      </c>
      <c r="BU24" s="26">
        <v>12.0</v>
      </c>
      <c r="BV24" s="26">
        <v>6.0</v>
      </c>
    </row>
    <row r="25" ht="15.75" customHeight="1">
      <c r="A25" s="28" t="s">
        <v>147</v>
      </c>
      <c r="B25" s="29" t="s">
        <v>148</v>
      </c>
      <c r="C25" s="28" t="s">
        <v>149</v>
      </c>
      <c r="D25" s="28" t="s">
        <v>150</v>
      </c>
      <c r="E25" s="30" t="s">
        <v>85</v>
      </c>
      <c r="F25" s="30">
        <v>100.0</v>
      </c>
      <c r="G25" s="31">
        <v>32.0</v>
      </c>
      <c r="H25" s="31">
        <v>0.67</v>
      </c>
      <c r="I25" s="31">
        <v>7.68</v>
      </c>
      <c r="J25" s="31">
        <v>0.3</v>
      </c>
      <c r="K25" s="31">
        <v>2.0</v>
      </c>
      <c r="L25" s="31">
        <v>4.89</v>
      </c>
      <c r="M25" s="31">
        <v>0.0</v>
      </c>
      <c r="N25" s="31">
        <v>2.44</v>
      </c>
      <c r="O25" s="31">
        <v>1.99</v>
      </c>
      <c r="P25" s="31">
        <v>0.47</v>
      </c>
      <c r="Q25" s="31">
        <v>0.01</v>
      </c>
      <c r="R25" s="31">
        <v>0.04</v>
      </c>
      <c r="S25" s="31">
        <v>0.15</v>
      </c>
      <c r="T25" s="31">
        <v>1.0</v>
      </c>
      <c r="U25" s="31">
        <v>7.0</v>
      </c>
      <c r="V25" s="31">
        <v>91.0</v>
      </c>
      <c r="W25" s="32">
        <v>40.0</v>
      </c>
      <c r="X25" s="31">
        <v>1.0</v>
      </c>
      <c r="Y25" s="31">
        <v>7.0</v>
      </c>
      <c r="Z25" s="31">
        <v>0.024</v>
      </c>
      <c r="AA25" s="31">
        <v>0.022</v>
      </c>
      <c r="AB25" s="31">
        <v>0.386</v>
      </c>
      <c r="AC25" s="31">
        <v>0.125</v>
      </c>
      <c r="AD25" s="31">
        <v>0.047</v>
      </c>
      <c r="AE25" s="31">
        <v>0.04</v>
      </c>
      <c r="AF25" s="31">
        <v>24.0</v>
      </c>
      <c r="AG25" s="31">
        <v>0.0</v>
      </c>
      <c r="AH25" s="31">
        <v>58.8</v>
      </c>
      <c r="AI25" s="31">
        <v>0.0</v>
      </c>
      <c r="AJ25" s="31">
        <v>0.29</v>
      </c>
      <c r="AK25" s="31">
        <v>2.2</v>
      </c>
      <c r="AL25" s="31">
        <v>0.0</v>
      </c>
      <c r="AM25" s="31">
        <v>5.7</v>
      </c>
      <c r="AN25" s="31">
        <v>16.0</v>
      </c>
      <c r="AO25" s="31">
        <v>0.41</v>
      </c>
      <c r="AP25" s="31">
        <v>13.0</v>
      </c>
      <c r="AQ25" s="31">
        <v>24.0</v>
      </c>
      <c r="AR25" s="31">
        <v>153.0</v>
      </c>
      <c r="AS25" s="31">
        <v>1.0</v>
      </c>
      <c r="AT25" s="31">
        <v>0.14</v>
      </c>
      <c r="AU25" s="31">
        <v>0.048</v>
      </c>
      <c r="AV25" s="31">
        <v>0.386</v>
      </c>
      <c r="AW25" s="31">
        <v>0.4</v>
      </c>
      <c r="AX25" s="31">
        <v>0.0</v>
      </c>
      <c r="AY25" s="31">
        <v>0.0</v>
      </c>
      <c r="AZ25" s="31">
        <v>0.0</v>
      </c>
      <c r="BA25" s="31">
        <v>0.0</v>
      </c>
      <c r="BB25" s="31">
        <v>26.0</v>
      </c>
      <c r="BC25" s="31">
        <v>0.8</v>
      </c>
      <c r="BD25" s="31">
        <v>33.6</v>
      </c>
      <c r="BE25" s="31">
        <v>0.0</v>
      </c>
      <c r="BF25" s="31">
        <v>312.0</v>
      </c>
      <c r="BG25" s="31">
        <v>3577.0</v>
      </c>
      <c r="BH25" s="31">
        <v>9.0</v>
      </c>
      <c r="BI25" s="31">
        <v>15.0</v>
      </c>
      <c r="BJ25" s="31">
        <v>15.0</v>
      </c>
      <c r="BK25" s="31">
        <v>25.0</v>
      </c>
      <c r="BL25" s="31">
        <v>19.0</v>
      </c>
      <c r="BM25" s="31">
        <v>2.0</v>
      </c>
      <c r="BN25" s="31">
        <v>19.0</v>
      </c>
      <c r="BO25" s="31">
        <v>18.0</v>
      </c>
      <c r="BP25" s="31">
        <v>10.0</v>
      </c>
      <c r="BQ25" s="31">
        <v>23.0</v>
      </c>
      <c r="BR25" s="31">
        <v>77.0</v>
      </c>
      <c r="BS25" s="31">
        <v>46.0</v>
      </c>
      <c r="BT25" s="31">
        <v>20.0</v>
      </c>
      <c r="BU25" s="31">
        <v>29.0</v>
      </c>
      <c r="BV25" s="31">
        <v>10.0</v>
      </c>
    </row>
    <row r="26" ht="15.75" customHeight="1">
      <c r="A26" s="28" t="s">
        <v>151</v>
      </c>
      <c r="B26" s="29" t="s">
        <v>152</v>
      </c>
      <c r="C26" s="28" t="s">
        <v>149</v>
      </c>
      <c r="D26" s="28" t="s">
        <v>153</v>
      </c>
      <c r="E26" s="30" t="s">
        <v>85</v>
      </c>
      <c r="F26" s="30">
        <v>100.0</v>
      </c>
      <c r="G26" s="31">
        <v>57.0</v>
      </c>
      <c r="H26" s="31">
        <v>0.74</v>
      </c>
      <c r="I26" s="31">
        <v>14.49</v>
      </c>
      <c r="J26" s="31">
        <v>0.33</v>
      </c>
      <c r="K26" s="31">
        <v>2.4</v>
      </c>
      <c r="L26" s="31">
        <v>9.96</v>
      </c>
      <c r="M26" s="31">
        <v>0.0</v>
      </c>
      <c r="N26" s="31">
        <v>4.97</v>
      </c>
      <c r="O26" s="31">
        <v>3.44</v>
      </c>
      <c r="P26" s="31">
        <v>1.55</v>
      </c>
      <c r="Q26" s="31">
        <v>0.03</v>
      </c>
      <c r="R26" s="31">
        <v>0.05</v>
      </c>
      <c r="S26" s="31">
        <v>0.15</v>
      </c>
      <c r="T26" s="31">
        <v>3.0</v>
      </c>
      <c r="U26" s="31">
        <v>32.0</v>
      </c>
      <c r="V26" s="31">
        <v>84.0</v>
      </c>
      <c r="W26" s="32">
        <v>53.0</v>
      </c>
      <c r="X26" s="31">
        <v>3.0</v>
      </c>
      <c r="Y26" s="31">
        <v>32.0</v>
      </c>
      <c r="Z26" s="31">
        <v>0.037</v>
      </c>
      <c r="AA26" s="31">
        <v>0.041</v>
      </c>
      <c r="AB26" s="31">
        <v>0.418</v>
      </c>
      <c r="AC26" s="31">
        <v>0.124</v>
      </c>
      <c r="AD26" s="31">
        <v>0.052</v>
      </c>
      <c r="AE26" s="31">
        <v>0.09</v>
      </c>
      <c r="AF26" s="31">
        <v>6.0</v>
      </c>
      <c r="AG26" s="31">
        <v>0.0</v>
      </c>
      <c r="AH26" s="31">
        <v>9.7</v>
      </c>
      <c r="AI26" s="31">
        <v>0.0</v>
      </c>
      <c r="AJ26" s="31">
        <v>0.57</v>
      </c>
      <c r="AK26" s="31">
        <v>19.3</v>
      </c>
      <c r="AL26" s="31">
        <v>0.0</v>
      </c>
      <c r="AM26" s="31">
        <v>6.0</v>
      </c>
      <c r="AN26" s="31">
        <v>6.0</v>
      </c>
      <c r="AO26" s="31">
        <v>0.28</v>
      </c>
      <c r="AP26" s="31">
        <v>6.0</v>
      </c>
      <c r="AQ26" s="31">
        <v>12.0</v>
      </c>
      <c r="AR26" s="31">
        <v>77.0</v>
      </c>
      <c r="AS26" s="31">
        <v>1.0</v>
      </c>
      <c r="AT26" s="31">
        <v>0.16</v>
      </c>
      <c r="AU26" s="31">
        <v>0.057</v>
      </c>
      <c r="AV26" s="31">
        <v>0.336</v>
      </c>
      <c r="AW26" s="31">
        <v>0.1</v>
      </c>
      <c r="AX26" s="31">
        <v>0.0</v>
      </c>
      <c r="AY26" s="31">
        <v>0.0</v>
      </c>
      <c r="AZ26" s="31">
        <v>0.0</v>
      </c>
      <c r="BA26" s="31">
        <v>0.0</v>
      </c>
      <c r="BB26" s="31">
        <v>80.0</v>
      </c>
      <c r="BC26" s="31">
        <v>7.7</v>
      </c>
      <c r="BD26" s="31">
        <v>163.9</v>
      </c>
      <c r="BE26" s="31">
        <v>0.0</v>
      </c>
      <c r="BF26" s="31">
        <v>560.0</v>
      </c>
      <c r="BG26" s="31">
        <v>6552.0</v>
      </c>
      <c r="BH26" s="31">
        <v>5.0</v>
      </c>
      <c r="BI26" s="31">
        <v>11.0</v>
      </c>
      <c r="BJ26" s="31">
        <v>10.0</v>
      </c>
      <c r="BK26" s="31">
        <v>18.0</v>
      </c>
      <c r="BL26" s="31">
        <v>12.0</v>
      </c>
      <c r="BM26" s="31">
        <v>3.0</v>
      </c>
      <c r="BN26" s="31">
        <v>12.0</v>
      </c>
      <c r="BO26" s="31">
        <v>13.0</v>
      </c>
      <c r="BP26" s="31">
        <v>7.0</v>
      </c>
      <c r="BQ26" s="31">
        <v>13.0</v>
      </c>
      <c r="BR26" s="31">
        <v>29.0</v>
      </c>
      <c r="BS26" s="31">
        <v>23.0</v>
      </c>
      <c r="BT26" s="31">
        <v>9.0</v>
      </c>
      <c r="BU26" s="31">
        <v>14.0</v>
      </c>
      <c r="BV26" s="31">
        <v>6.0</v>
      </c>
    </row>
    <row r="27" ht="15.75" customHeight="1">
      <c r="A27" s="28" t="s">
        <v>154</v>
      </c>
      <c r="B27" s="29" t="s">
        <v>155</v>
      </c>
      <c r="C27" s="28" t="s">
        <v>149</v>
      </c>
      <c r="D27" s="28" t="s">
        <v>156</v>
      </c>
      <c r="E27" s="30" t="s">
        <v>85</v>
      </c>
      <c r="F27" s="30">
        <v>100.0</v>
      </c>
      <c r="G27" s="31">
        <v>69.0</v>
      </c>
      <c r="H27" s="31">
        <v>0.72</v>
      </c>
      <c r="I27" s="31">
        <v>18.1</v>
      </c>
      <c r="J27" s="31">
        <v>0.16</v>
      </c>
      <c r="K27" s="31">
        <v>0.9</v>
      </c>
      <c r="L27" s="31">
        <v>15.48</v>
      </c>
      <c r="M27" s="31">
        <v>0.0</v>
      </c>
      <c r="N27" s="31">
        <v>8.13</v>
      </c>
      <c r="O27" s="31">
        <v>7.2</v>
      </c>
      <c r="P27" s="31">
        <v>0.15</v>
      </c>
      <c r="Q27" s="31">
        <v>0.054</v>
      </c>
      <c r="R27" s="31">
        <v>0.007</v>
      </c>
      <c r="S27" s="31">
        <v>0.037</v>
      </c>
      <c r="T27" s="31">
        <v>3.0</v>
      </c>
      <c r="U27" s="31">
        <v>32.0</v>
      </c>
      <c r="V27" s="31">
        <v>81.0</v>
      </c>
      <c r="W27" s="32">
        <v>59.0</v>
      </c>
      <c r="X27" s="31">
        <v>3.0</v>
      </c>
      <c r="Y27" s="31">
        <v>32.0</v>
      </c>
      <c r="Z27" s="31">
        <v>0.069</v>
      </c>
      <c r="AA27" s="31">
        <v>0.07</v>
      </c>
      <c r="AB27" s="31">
        <v>0.188</v>
      </c>
      <c r="AC27" s="31">
        <v>0.05</v>
      </c>
      <c r="AD27" s="31">
        <v>0.086</v>
      </c>
      <c r="AE27" s="31">
        <v>0.0</v>
      </c>
      <c r="AF27" s="31">
        <v>2.0</v>
      </c>
      <c r="AG27" s="31">
        <v>0.0</v>
      </c>
      <c r="AH27" s="31">
        <v>10.8</v>
      </c>
      <c r="AI27" s="31">
        <v>0.0</v>
      </c>
      <c r="AJ27" s="31">
        <v>0.19</v>
      </c>
      <c r="AK27" s="31">
        <v>14.6</v>
      </c>
      <c r="AL27" s="31">
        <v>0.0</v>
      </c>
      <c r="AM27" s="31">
        <v>5.0</v>
      </c>
      <c r="AN27" s="31">
        <v>10.0</v>
      </c>
      <c r="AO27" s="31">
        <v>0.36</v>
      </c>
      <c r="AP27" s="31">
        <v>7.0</v>
      </c>
      <c r="AQ27" s="31">
        <v>20.0</v>
      </c>
      <c r="AR27" s="31">
        <v>191.0</v>
      </c>
      <c r="AS27" s="31">
        <v>2.0</v>
      </c>
      <c r="AT27" s="31">
        <v>0.07</v>
      </c>
      <c r="AU27" s="31">
        <v>0.127</v>
      </c>
      <c r="AV27" s="31">
        <v>0.071</v>
      </c>
      <c r="AW27" s="31">
        <v>0.1</v>
      </c>
      <c r="AX27" s="31">
        <v>7.8</v>
      </c>
      <c r="AY27" s="31">
        <v>0.0</v>
      </c>
      <c r="AZ27" s="31">
        <v>0.0</v>
      </c>
      <c r="BA27" s="31">
        <v>0.0</v>
      </c>
      <c r="BB27" s="31">
        <v>72.0</v>
      </c>
      <c r="BC27" s="31">
        <v>3.5</v>
      </c>
      <c r="BD27" s="31">
        <v>71.2</v>
      </c>
      <c r="BE27" s="31">
        <v>1.2</v>
      </c>
      <c r="BF27" s="31">
        <v>1600.0</v>
      </c>
      <c r="BG27" s="31">
        <v>1746.0</v>
      </c>
      <c r="BH27" s="31">
        <v>7.0</v>
      </c>
      <c r="BI27" s="31">
        <v>18.0</v>
      </c>
      <c r="BJ27" s="31">
        <v>8.0</v>
      </c>
      <c r="BK27" s="31">
        <v>9.0</v>
      </c>
      <c r="BL27" s="31">
        <v>5.0</v>
      </c>
      <c r="BM27" s="31">
        <v>5.0</v>
      </c>
      <c r="BN27" s="31">
        <v>19.0</v>
      </c>
      <c r="BO27" s="31">
        <v>10.0</v>
      </c>
      <c r="BP27" s="31">
        <v>5.0</v>
      </c>
      <c r="BQ27" s="31">
        <v>26.0</v>
      </c>
      <c r="BR27" s="31">
        <v>56.0</v>
      </c>
      <c r="BS27" s="31">
        <v>47.0</v>
      </c>
      <c r="BT27" s="31">
        <v>13.0</v>
      </c>
      <c r="BU27" s="31">
        <v>17.0</v>
      </c>
      <c r="BV27" s="31">
        <v>12.0</v>
      </c>
    </row>
    <row r="28" ht="15.75" customHeight="1">
      <c r="A28" s="28" t="s">
        <v>157</v>
      </c>
      <c r="B28" s="29" t="s">
        <v>158</v>
      </c>
      <c r="C28" s="28" t="s">
        <v>149</v>
      </c>
      <c r="D28" s="28" t="s">
        <v>159</v>
      </c>
      <c r="E28" s="30" t="s">
        <v>85</v>
      </c>
      <c r="F28" s="30">
        <v>100.0</v>
      </c>
      <c r="G28" s="31">
        <v>69.0</v>
      </c>
      <c r="H28" s="31">
        <v>0.72</v>
      </c>
      <c r="I28" s="31">
        <v>18.1</v>
      </c>
      <c r="J28" s="31">
        <v>0.16</v>
      </c>
      <c r="K28" s="31">
        <v>0.9</v>
      </c>
      <c r="L28" s="31">
        <v>15.48</v>
      </c>
      <c r="M28" s="31">
        <v>0.0</v>
      </c>
      <c r="N28" s="31">
        <v>8.13</v>
      </c>
      <c r="O28" s="31">
        <v>7.2</v>
      </c>
      <c r="P28" s="31">
        <v>0.15</v>
      </c>
      <c r="Q28" s="31">
        <v>0.054</v>
      </c>
      <c r="R28" s="31">
        <v>0.007</v>
      </c>
      <c r="S28" s="31">
        <v>0.037</v>
      </c>
      <c r="T28" s="31">
        <v>3.0</v>
      </c>
      <c r="U28" s="31">
        <v>0.0</v>
      </c>
      <c r="V28" s="31">
        <v>81.0</v>
      </c>
      <c r="W28" s="32">
        <v>45.0</v>
      </c>
      <c r="X28" s="31">
        <v>3.0</v>
      </c>
      <c r="Y28" s="31">
        <v>0.0</v>
      </c>
      <c r="Z28" s="31">
        <v>0.069</v>
      </c>
      <c r="AA28" s="31">
        <v>0.07</v>
      </c>
      <c r="AB28" s="31">
        <v>0.188</v>
      </c>
      <c r="AC28" s="31">
        <v>0.05</v>
      </c>
      <c r="AD28" s="31">
        <v>0.086</v>
      </c>
      <c r="AE28" s="31">
        <v>0.0</v>
      </c>
      <c r="AF28" s="31">
        <v>2.0</v>
      </c>
      <c r="AG28" s="31">
        <v>0.0</v>
      </c>
      <c r="AH28" s="31">
        <v>10.8</v>
      </c>
      <c r="AI28" s="31">
        <v>0.0</v>
      </c>
      <c r="AJ28" s="31">
        <v>0.19</v>
      </c>
      <c r="AK28" s="31">
        <v>14.6</v>
      </c>
      <c r="AL28" s="31">
        <v>0.0</v>
      </c>
      <c r="AM28" s="31">
        <v>5.0</v>
      </c>
      <c r="AN28" s="31">
        <v>10.0</v>
      </c>
      <c r="AO28" s="31">
        <v>0.36</v>
      </c>
      <c r="AP28" s="31">
        <v>7.0</v>
      </c>
      <c r="AQ28" s="31">
        <v>20.0</v>
      </c>
      <c r="AR28" s="31">
        <v>191.0</v>
      </c>
      <c r="AS28" s="31">
        <v>2.0</v>
      </c>
      <c r="AT28" s="31">
        <v>0.07</v>
      </c>
      <c r="AU28" s="31">
        <v>0.127</v>
      </c>
      <c r="AV28" s="31">
        <v>0.071</v>
      </c>
      <c r="AW28" s="31">
        <v>0.1</v>
      </c>
      <c r="AX28" s="31">
        <v>7.8</v>
      </c>
      <c r="AY28" s="31">
        <v>0.0</v>
      </c>
      <c r="AZ28" s="31">
        <v>0.0</v>
      </c>
      <c r="BA28" s="31">
        <v>0.0</v>
      </c>
      <c r="BB28" s="31">
        <v>72.0</v>
      </c>
      <c r="BC28" s="31">
        <v>2.0</v>
      </c>
      <c r="BD28" s="31">
        <v>22.5</v>
      </c>
      <c r="BE28" s="31">
        <v>0.5</v>
      </c>
      <c r="BF28" s="31">
        <v>900.0</v>
      </c>
      <c r="BG28" s="31">
        <v>1118.0</v>
      </c>
      <c r="BH28" s="31">
        <v>7.0</v>
      </c>
      <c r="BI28" s="31">
        <v>18.0</v>
      </c>
      <c r="BJ28" s="31">
        <v>8.0</v>
      </c>
      <c r="BK28" s="31">
        <v>9.0</v>
      </c>
      <c r="BL28" s="31">
        <v>5.0</v>
      </c>
      <c r="BM28" s="31">
        <v>5.0</v>
      </c>
      <c r="BN28" s="31">
        <v>19.0</v>
      </c>
      <c r="BO28" s="31">
        <v>10.0</v>
      </c>
      <c r="BP28" s="31">
        <v>5.0</v>
      </c>
      <c r="BQ28" s="31">
        <v>26.0</v>
      </c>
      <c r="BR28" s="31">
        <v>56.0</v>
      </c>
      <c r="BS28" s="31">
        <v>47.0</v>
      </c>
      <c r="BT28" s="31">
        <v>13.0</v>
      </c>
      <c r="BU28" s="31">
        <v>17.0</v>
      </c>
      <c r="BV28" s="31">
        <v>12.0</v>
      </c>
    </row>
    <row r="29" ht="15.75" customHeight="1">
      <c r="A29" s="28" t="s">
        <v>160</v>
      </c>
      <c r="B29" s="29" t="s">
        <v>161</v>
      </c>
      <c r="C29" s="28" t="s">
        <v>149</v>
      </c>
      <c r="D29" s="28" t="s">
        <v>162</v>
      </c>
      <c r="E29" s="30" t="s">
        <v>85</v>
      </c>
      <c r="F29" s="30">
        <v>100.0</v>
      </c>
      <c r="G29" s="31">
        <v>44.0</v>
      </c>
      <c r="H29" s="31">
        <v>0.88</v>
      </c>
      <c r="I29" s="31">
        <v>10.18</v>
      </c>
      <c r="J29" s="31">
        <v>0.58</v>
      </c>
      <c r="K29" s="31">
        <v>4.3</v>
      </c>
      <c r="L29" s="31">
        <v>0.0</v>
      </c>
      <c r="M29" s="31">
        <v>0.0</v>
      </c>
      <c r="N29" s="31">
        <v>0.0</v>
      </c>
      <c r="O29" s="31">
        <v>0.0</v>
      </c>
      <c r="P29" s="31">
        <v>0.0</v>
      </c>
      <c r="Q29" s="31">
        <v>0.13</v>
      </c>
      <c r="R29" s="31">
        <v>0.09</v>
      </c>
      <c r="S29" s="31">
        <v>0.3</v>
      </c>
      <c r="T29" s="31">
        <v>3.0</v>
      </c>
      <c r="U29" s="31">
        <v>18.0</v>
      </c>
      <c r="V29" s="31">
        <v>82.0</v>
      </c>
      <c r="W29" s="32">
        <v>25.0</v>
      </c>
      <c r="X29" s="31">
        <v>3.0</v>
      </c>
      <c r="Y29" s="31">
        <v>18.0</v>
      </c>
      <c r="Z29" s="31">
        <v>0.04</v>
      </c>
      <c r="AA29" s="31">
        <v>0.03</v>
      </c>
      <c r="AB29" s="31">
        <v>0.3</v>
      </c>
      <c r="AC29" s="31">
        <v>0.04</v>
      </c>
      <c r="AD29" s="31">
        <v>0.08</v>
      </c>
      <c r="AE29" s="31">
        <v>6.5</v>
      </c>
      <c r="AF29" s="31">
        <v>6.0</v>
      </c>
      <c r="AG29" s="31">
        <v>0.0</v>
      </c>
      <c r="AH29" s="31">
        <v>600.0</v>
      </c>
      <c r="AI29" s="31">
        <v>0.0</v>
      </c>
      <c r="AJ29" s="31">
        <v>0.37</v>
      </c>
      <c r="AK29" s="31">
        <v>0.0</v>
      </c>
      <c r="AL29" s="31">
        <v>0.0</v>
      </c>
      <c r="AM29" s="31">
        <v>4.0</v>
      </c>
      <c r="AN29" s="31">
        <v>25.0</v>
      </c>
      <c r="AO29" s="31">
        <v>0.31</v>
      </c>
      <c r="AP29" s="31">
        <v>10.0</v>
      </c>
      <c r="AQ29" s="31">
        <v>27.0</v>
      </c>
      <c r="AR29" s="31">
        <v>198.0</v>
      </c>
      <c r="AS29" s="31">
        <v>1.0</v>
      </c>
      <c r="AT29" s="31">
        <v>0.12</v>
      </c>
      <c r="AU29" s="31">
        <v>0.07</v>
      </c>
      <c r="AV29" s="31">
        <v>0.14</v>
      </c>
      <c r="AW29" s="31">
        <v>0.0</v>
      </c>
      <c r="AX29" s="31">
        <v>0.0</v>
      </c>
      <c r="AY29" s="31">
        <v>0.0</v>
      </c>
      <c r="AZ29" s="31">
        <v>0.0</v>
      </c>
      <c r="BA29" s="31">
        <v>0.0</v>
      </c>
      <c r="BB29" s="31">
        <v>0.0</v>
      </c>
      <c r="BC29" s="31">
        <v>0.0</v>
      </c>
      <c r="BD29" s="31">
        <v>0.0</v>
      </c>
      <c r="BE29" s="31">
        <v>0.0</v>
      </c>
      <c r="BF29" s="31">
        <v>3000.0</v>
      </c>
      <c r="BG29" s="31">
        <v>26800.0</v>
      </c>
      <c r="BH29" s="31">
        <v>4.0</v>
      </c>
      <c r="BI29" s="31">
        <v>10.0</v>
      </c>
      <c r="BJ29" s="31">
        <v>10.0</v>
      </c>
      <c r="BK29" s="31">
        <v>22.0</v>
      </c>
      <c r="BL29" s="31">
        <v>14.0</v>
      </c>
      <c r="BM29" s="31">
        <v>4.0</v>
      </c>
      <c r="BN29" s="31">
        <v>13.0</v>
      </c>
      <c r="BO29" s="31">
        <v>14.0</v>
      </c>
      <c r="BP29" s="31">
        <v>6.0</v>
      </c>
      <c r="BQ29" s="31">
        <v>8.0</v>
      </c>
      <c r="BR29" s="31">
        <v>22.0</v>
      </c>
      <c r="BS29" s="31">
        <v>20.0</v>
      </c>
      <c r="BT29" s="31">
        <v>8.0</v>
      </c>
      <c r="BU29" s="31">
        <v>12.0</v>
      </c>
      <c r="BV29" s="31">
        <v>8.0</v>
      </c>
    </row>
    <row r="30" ht="15.75" customHeight="1">
      <c r="A30" s="28" t="s">
        <v>163</v>
      </c>
      <c r="B30" s="29" t="s">
        <v>164</v>
      </c>
      <c r="C30" s="28" t="s">
        <v>149</v>
      </c>
      <c r="D30" s="28" t="s">
        <v>146</v>
      </c>
      <c r="E30" s="30" t="s">
        <v>85</v>
      </c>
      <c r="F30" s="30">
        <v>100.0</v>
      </c>
      <c r="G30" s="31">
        <v>62.0</v>
      </c>
      <c r="H30" s="31">
        <v>0.72</v>
      </c>
      <c r="I30" s="31">
        <v>14.0</v>
      </c>
      <c r="J30" s="31">
        <v>0.23</v>
      </c>
      <c r="K30" s="31">
        <v>0.6</v>
      </c>
      <c r="L30" s="31">
        <v>11.07</v>
      </c>
      <c r="M30" s="31">
        <v>0.0</v>
      </c>
      <c r="N30" s="31">
        <v>0.0</v>
      </c>
      <c r="O30" s="31">
        <v>0.0</v>
      </c>
      <c r="P30" s="31">
        <v>0.0</v>
      </c>
      <c r="Q30" s="31">
        <v>0.0</v>
      </c>
      <c r="R30" s="31">
        <v>0.0</v>
      </c>
      <c r="S30" s="31">
        <v>0.0</v>
      </c>
      <c r="T30" s="31">
        <v>3.0</v>
      </c>
      <c r="U30" s="31">
        <v>17.0</v>
      </c>
      <c r="V30" s="31">
        <v>84.0</v>
      </c>
      <c r="W30" s="32">
        <v>25.0</v>
      </c>
      <c r="X30" s="31">
        <v>3.0</v>
      </c>
      <c r="Y30" s="31">
        <v>17.0</v>
      </c>
      <c r="Z30" s="31">
        <v>0.006</v>
      </c>
      <c r="AA30" s="31">
        <v>0.012</v>
      </c>
      <c r="AB30" s="31">
        <v>0.26</v>
      </c>
      <c r="AC30" s="31">
        <v>0.0</v>
      </c>
      <c r="AD30" s="31">
        <v>0.038</v>
      </c>
      <c r="AE30" s="31">
        <v>0.0</v>
      </c>
      <c r="AF30" s="31">
        <v>3.0</v>
      </c>
      <c r="AG30" s="31">
        <v>0.0</v>
      </c>
      <c r="AH30" s="31">
        <v>14.3</v>
      </c>
      <c r="AI30" s="31">
        <v>0.0</v>
      </c>
      <c r="AJ30" s="31">
        <v>0.15</v>
      </c>
      <c r="AK30" s="31">
        <v>0.0</v>
      </c>
      <c r="AL30" s="31">
        <v>0.0</v>
      </c>
      <c r="AM30" s="31">
        <v>0.0</v>
      </c>
      <c r="AN30" s="31">
        <v>15.0</v>
      </c>
      <c r="AO30" s="31">
        <v>0.19</v>
      </c>
      <c r="AP30" s="31">
        <v>35.0</v>
      </c>
      <c r="AQ30" s="31">
        <v>17.0</v>
      </c>
      <c r="AR30" s="31">
        <v>79.0</v>
      </c>
      <c r="AS30" s="31">
        <v>26.0</v>
      </c>
      <c r="AT30" s="31">
        <v>0.19</v>
      </c>
      <c r="AU30" s="31">
        <v>0.023</v>
      </c>
      <c r="AV30" s="31">
        <v>0.0</v>
      </c>
      <c r="AW30" s="31">
        <v>0.0</v>
      </c>
      <c r="AX30" s="31">
        <v>0.0</v>
      </c>
      <c r="AY30" s="31">
        <v>0.0</v>
      </c>
      <c r="AZ30" s="31">
        <v>0.0</v>
      </c>
      <c r="BA30" s="31">
        <v>0.0</v>
      </c>
      <c r="BB30" s="31">
        <v>0.0</v>
      </c>
      <c r="BC30" s="31">
        <v>0.0</v>
      </c>
      <c r="BD30" s="31">
        <v>146.0</v>
      </c>
      <c r="BE30" s="31">
        <v>0.0</v>
      </c>
      <c r="BF30" s="31">
        <v>315.0</v>
      </c>
      <c r="BG30" s="31">
        <v>0.0</v>
      </c>
      <c r="BH30" s="31">
        <v>6.0</v>
      </c>
      <c r="BI30" s="31">
        <v>5.0</v>
      </c>
      <c r="BJ30" s="31">
        <v>9.0</v>
      </c>
      <c r="BK30" s="31">
        <v>17.0</v>
      </c>
      <c r="BL30" s="31">
        <v>8.0</v>
      </c>
      <c r="BM30" s="31">
        <v>3.0</v>
      </c>
      <c r="BN30" s="31">
        <v>9.0</v>
      </c>
      <c r="BO30" s="31">
        <v>8.0</v>
      </c>
      <c r="BP30" s="31">
        <v>5.0</v>
      </c>
      <c r="BQ30" s="31">
        <v>10.0</v>
      </c>
      <c r="BR30" s="31">
        <v>43.0</v>
      </c>
      <c r="BS30" s="31">
        <v>38.0</v>
      </c>
      <c r="BT30" s="31">
        <v>11.0</v>
      </c>
      <c r="BU30" s="31">
        <v>15.0</v>
      </c>
      <c r="BV30" s="31">
        <v>8.0</v>
      </c>
    </row>
    <row r="31" ht="15.75" customHeight="1">
      <c r="A31" s="28" t="s">
        <v>165</v>
      </c>
      <c r="B31" s="29" t="s">
        <v>166</v>
      </c>
      <c r="C31" s="28" t="s">
        <v>149</v>
      </c>
      <c r="D31" s="28" t="s">
        <v>118</v>
      </c>
      <c r="E31" s="30" t="s">
        <v>85</v>
      </c>
      <c r="F31" s="30">
        <v>100.0</v>
      </c>
      <c r="G31" s="31">
        <v>52.0</v>
      </c>
      <c r="H31" s="31">
        <v>1.2</v>
      </c>
      <c r="I31" s="31">
        <v>11.94</v>
      </c>
      <c r="J31" s="31">
        <v>0.65</v>
      </c>
      <c r="K31" s="31">
        <v>6.5</v>
      </c>
      <c r="L31" s="31">
        <v>4.42</v>
      </c>
      <c r="M31" s="31">
        <v>0.0</v>
      </c>
      <c r="N31" s="31">
        <v>2.35</v>
      </c>
      <c r="O31" s="31">
        <v>1.86</v>
      </c>
      <c r="P31" s="31">
        <v>0.21</v>
      </c>
      <c r="Q31" s="31">
        <v>0.02</v>
      </c>
      <c r="R31" s="31">
        <v>0.06</v>
      </c>
      <c r="S31" s="31">
        <v>0.37</v>
      </c>
      <c r="T31" s="31">
        <v>2.0</v>
      </c>
      <c r="U31" s="31">
        <v>12.0</v>
      </c>
      <c r="V31" s="31">
        <v>86.0</v>
      </c>
      <c r="W31" s="32">
        <v>32.0</v>
      </c>
      <c r="X31" s="31">
        <v>2.0</v>
      </c>
      <c r="Y31" s="31">
        <v>12.0</v>
      </c>
      <c r="Z31" s="31">
        <v>0.032</v>
      </c>
      <c r="AA31" s="31">
        <v>0.038</v>
      </c>
      <c r="AB31" s="31">
        <v>0.598</v>
      </c>
      <c r="AC31" s="31">
        <v>0.329</v>
      </c>
      <c r="AD31" s="31">
        <v>0.055</v>
      </c>
      <c r="AE31" s="31">
        <v>0.08</v>
      </c>
      <c r="AF31" s="31">
        <v>21.0</v>
      </c>
      <c r="AG31" s="31">
        <v>0.0</v>
      </c>
      <c r="AH31" s="31">
        <v>26.2</v>
      </c>
      <c r="AI31" s="31">
        <v>0.0</v>
      </c>
      <c r="AJ31" s="31">
        <v>0.87</v>
      </c>
      <c r="AK31" s="31">
        <v>7.8</v>
      </c>
      <c r="AL31" s="31">
        <v>0.0</v>
      </c>
      <c r="AM31" s="31">
        <v>11.9</v>
      </c>
      <c r="AN31" s="31">
        <v>25.0</v>
      </c>
      <c r="AO31" s="31">
        <v>0.69</v>
      </c>
      <c r="AP31" s="31">
        <v>22.0</v>
      </c>
      <c r="AQ31" s="31">
        <v>29.0</v>
      </c>
      <c r="AR31" s="31">
        <v>151.0</v>
      </c>
      <c r="AS31" s="31">
        <v>1.0</v>
      </c>
      <c r="AT31" s="31">
        <v>0.42</v>
      </c>
      <c r="AU31" s="31">
        <v>0.09</v>
      </c>
      <c r="AV31" s="31">
        <v>0.67</v>
      </c>
      <c r="AW31" s="31">
        <v>0.2</v>
      </c>
      <c r="AX31" s="31">
        <v>0.0</v>
      </c>
      <c r="AY31" s="31">
        <v>0.0</v>
      </c>
      <c r="AZ31" s="31">
        <v>0.0</v>
      </c>
      <c r="BA31" s="31">
        <v>0.0</v>
      </c>
      <c r="BB31" s="31">
        <v>136.0</v>
      </c>
      <c r="BC31" s="31">
        <v>3.6</v>
      </c>
      <c r="BD31" s="31">
        <v>38.8</v>
      </c>
      <c r="BE31" s="31">
        <v>0.0</v>
      </c>
      <c r="BF31" s="31">
        <v>626.0</v>
      </c>
      <c r="BG31" s="31">
        <v>6058.0</v>
      </c>
      <c r="BH31" s="31">
        <v>13.0</v>
      </c>
      <c r="BI31" s="31">
        <v>22.0</v>
      </c>
      <c r="BJ31" s="31">
        <v>20.0</v>
      </c>
      <c r="BK31" s="31">
        <v>37.0</v>
      </c>
      <c r="BL31" s="31">
        <v>28.0</v>
      </c>
      <c r="BM31" s="31">
        <v>4.0</v>
      </c>
      <c r="BN31" s="31">
        <v>26.0</v>
      </c>
      <c r="BO31" s="31">
        <v>28.0</v>
      </c>
      <c r="BP31" s="31">
        <v>14.0</v>
      </c>
      <c r="BQ31" s="31">
        <v>27.0</v>
      </c>
      <c r="BR31" s="31">
        <v>52.0</v>
      </c>
      <c r="BS31" s="31">
        <v>57.0</v>
      </c>
      <c r="BT31" s="31">
        <v>23.0</v>
      </c>
      <c r="BU31" s="31">
        <v>22.0</v>
      </c>
      <c r="BV31" s="31">
        <v>12.0</v>
      </c>
    </row>
    <row r="32" ht="15.75" customHeight="1">
      <c r="A32" s="28" t="s">
        <v>167</v>
      </c>
      <c r="B32" s="29" t="s">
        <v>168</v>
      </c>
      <c r="C32" s="28" t="s">
        <v>149</v>
      </c>
      <c r="D32" s="28" t="s">
        <v>146</v>
      </c>
      <c r="E32" s="30" t="s">
        <v>85</v>
      </c>
      <c r="F32" s="30">
        <v>100.0</v>
      </c>
      <c r="G32" s="31">
        <v>55.0</v>
      </c>
      <c r="H32" s="31">
        <v>1.65</v>
      </c>
      <c r="I32" s="31">
        <v>9.8</v>
      </c>
      <c r="J32" s="31">
        <v>0.54</v>
      </c>
      <c r="K32" s="31">
        <v>5.7</v>
      </c>
      <c r="L32" s="31">
        <v>5.5</v>
      </c>
      <c r="M32" s="31">
        <v>0.0</v>
      </c>
      <c r="N32" s="31">
        <v>0.0</v>
      </c>
      <c r="O32" s="31">
        <v>0.0</v>
      </c>
      <c r="P32" s="31">
        <v>0.0</v>
      </c>
      <c r="Q32" s="31">
        <v>0.0</v>
      </c>
      <c r="R32" s="31">
        <v>0.0</v>
      </c>
      <c r="S32" s="31">
        <v>0.0</v>
      </c>
      <c r="T32" s="31">
        <v>0.0</v>
      </c>
      <c r="U32" s="31">
        <v>0.0</v>
      </c>
      <c r="V32" s="31">
        <v>80.0</v>
      </c>
      <c r="W32" s="32">
        <v>0.0</v>
      </c>
      <c r="X32" s="31">
        <v>0.0</v>
      </c>
      <c r="Y32" s="31">
        <v>0.0</v>
      </c>
      <c r="Z32" s="31">
        <v>0.02</v>
      </c>
      <c r="AA32" s="31">
        <v>0.08</v>
      </c>
      <c r="AB32" s="31">
        <v>0.5</v>
      </c>
      <c r="AC32" s="31">
        <v>0.0</v>
      </c>
      <c r="AD32" s="31">
        <v>0.09</v>
      </c>
      <c r="AE32" s="31">
        <v>0.0</v>
      </c>
      <c r="AF32" s="31">
        <v>8.0</v>
      </c>
      <c r="AG32" s="31">
        <v>0.0</v>
      </c>
      <c r="AH32" s="31">
        <v>14.0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>
        <v>129.0</v>
      </c>
      <c r="AO32" s="31">
        <v>1.08</v>
      </c>
      <c r="AP32" s="31">
        <v>30.0</v>
      </c>
      <c r="AQ32" s="31">
        <v>45.0</v>
      </c>
      <c r="AR32" s="31">
        <v>372.0</v>
      </c>
      <c r="AS32" s="31">
        <v>17.0</v>
      </c>
      <c r="AT32" s="31">
        <v>0.33</v>
      </c>
      <c r="AU32" s="31">
        <v>0.0</v>
      </c>
      <c r="AV32" s="31">
        <v>0.0</v>
      </c>
      <c r="AW32" s="31">
        <v>0.0</v>
      </c>
      <c r="AX32" s="31">
        <v>0.0</v>
      </c>
      <c r="AY32" s="31">
        <v>0.0</v>
      </c>
      <c r="AZ32" s="31">
        <v>0.0</v>
      </c>
      <c r="BA32" s="31">
        <v>0.0</v>
      </c>
      <c r="BB32" s="31">
        <v>0.0</v>
      </c>
      <c r="BC32" s="31">
        <v>0.0</v>
      </c>
      <c r="BD32" s="31">
        <v>0.0</v>
      </c>
      <c r="BE32" s="31">
        <v>0.0</v>
      </c>
      <c r="BF32" s="31">
        <v>0.0</v>
      </c>
      <c r="BG32" s="31">
        <v>0.0</v>
      </c>
      <c r="BH32" s="31">
        <v>0.0</v>
      </c>
      <c r="BI32" s="31">
        <v>0.0</v>
      </c>
      <c r="BJ32" s="31">
        <v>0.0</v>
      </c>
      <c r="BK32" s="31">
        <v>0.0</v>
      </c>
      <c r="BL32" s="31">
        <v>0.0</v>
      </c>
      <c r="BM32" s="31">
        <v>0.0</v>
      </c>
      <c r="BN32" s="31">
        <v>0.0</v>
      </c>
      <c r="BO32" s="31">
        <v>0.0</v>
      </c>
      <c r="BP32" s="31">
        <v>0.0</v>
      </c>
      <c r="BQ32" s="31">
        <v>0.0</v>
      </c>
      <c r="BR32" s="31">
        <v>0.0</v>
      </c>
      <c r="BS32" s="31">
        <v>0.0</v>
      </c>
      <c r="BT32" s="31">
        <v>0.0</v>
      </c>
      <c r="BU32" s="31">
        <v>0.0</v>
      </c>
      <c r="BV32" s="31">
        <v>0.0</v>
      </c>
    </row>
    <row r="33" ht="15.75" customHeight="1">
      <c r="A33" s="33" t="s">
        <v>169</v>
      </c>
      <c r="B33" s="34" t="s">
        <v>170</v>
      </c>
      <c r="C33" s="33" t="s">
        <v>171</v>
      </c>
      <c r="D33" s="33" t="s">
        <v>172</v>
      </c>
      <c r="E33" s="35" t="s">
        <v>85</v>
      </c>
      <c r="F33" s="35">
        <v>100.0</v>
      </c>
      <c r="G33" s="36">
        <v>60.0</v>
      </c>
      <c r="H33" s="36">
        <v>0.82</v>
      </c>
      <c r="I33" s="36">
        <v>15.0</v>
      </c>
      <c r="J33" s="36">
        <v>0.38</v>
      </c>
      <c r="K33" s="36">
        <v>1.6</v>
      </c>
      <c r="L33" s="36">
        <v>13.7</v>
      </c>
      <c r="M33" s="36">
        <v>0.0</v>
      </c>
      <c r="N33" s="36">
        <v>4.7</v>
      </c>
      <c r="O33" s="36">
        <v>2.9</v>
      </c>
      <c r="P33" s="36">
        <v>6.5</v>
      </c>
      <c r="Q33" s="36">
        <v>0.09</v>
      </c>
      <c r="R33" s="36">
        <v>0.14</v>
      </c>
      <c r="S33" s="36">
        <v>0.07</v>
      </c>
      <c r="T33" s="36">
        <v>9.0</v>
      </c>
      <c r="U33" s="36">
        <v>445.0</v>
      </c>
      <c r="V33" s="36">
        <v>83.0</v>
      </c>
      <c r="W33" s="37">
        <v>51.0</v>
      </c>
      <c r="X33" s="36">
        <v>54.0</v>
      </c>
      <c r="Y33" s="36">
        <v>445.0</v>
      </c>
      <c r="Z33" s="36">
        <v>0.028</v>
      </c>
      <c r="AA33" s="36">
        <v>0.038</v>
      </c>
      <c r="AB33" s="36">
        <v>0.669</v>
      </c>
      <c r="AC33" s="36">
        <v>0.197</v>
      </c>
      <c r="AD33" s="36">
        <v>0.119</v>
      </c>
      <c r="AE33" s="36">
        <v>0.06</v>
      </c>
      <c r="AF33" s="36">
        <v>43.0</v>
      </c>
      <c r="AG33" s="36">
        <v>0.0</v>
      </c>
      <c r="AH33" s="36">
        <v>36.4</v>
      </c>
      <c r="AI33" s="36">
        <v>0.0</v>
      </c>
      <c r="AJ33" s="36">
        <v>0.9</v>
      </c>
      <c r="AK33" s="36">
        <v>4.2</v>
      </c>
      <c r="AL33" s="36">
        <v>0.0</v>
      </c>
      <c r="AM33" s="36">
        <v>7.6</v>
      </c>
      <c r="AN33" s="36">
        <v>11.0</v>
      </c>
      <c r="AO33" s="36">
        <v>0.16</v>
      </c>
      <c r="AP33" s="36">
        <v>10.0</v>
      </c>
      <c r="AQ33" s="36">
        <v>14.0</v>
      </c>
      <c r="AR33" s="36">
        <v>168.0</v>
      </c>
      <c r="AS33" s="36">
        <v>1.0</v>
      </c>
      <c r="AT33" s="36">
        <v>0.09</v>
      </c>
      <c r="AU33" s="36">
        <v>0.11</v>
      </c>
      <c r="AV33" s="36">
        <v>0.06</v>
      </c>
      <c r="AW33" s="36">
        <v>0.6</v>
      </c>
      <c r="AX33" s="36">
        <v>0.0</v>
      </c>
      <c r="AY33" s="36">
        <v>0.0</v>
      </c>
      <c r="AZ33" s="36">
        <v>0.0</v>
      </c>
      <c r="BA33" s="36">
        <v>0.0</v>
      </c>
      <c r="BB33" s="36">
        <v>0.0</v>
      </c>
      <c r="BC33" s="36">
        <v>0.1</v>
      </c>
      <c r="BD33" s="36">
        <v>0.7</v>
      </c>
      <c r="BE33" s="36">
        <v>0.0</v>
      </c>
      <c r="BF33" s="36">
        <v>312.0</v>
      </c>
      <c r="BG33" s="36">
        <v>1002.0</v>
      </c>
      <c r="BH33" s="36">
        <v>11.0</v>
      </c>
      <c r="BI33" s="36">
        <v>31.0</v>
      </c>
      <c r="BJ33" s="36">
        <v>25.0</v>
      </c>
      <c r="BK33" s="36">
        <v>57.0</v>
      </c>
      <c r="BL33" s="36">
        <v>27.0</v>
      </c>
      <c r="BM33" s="36">
        <v>6.0</v>
      </c>
      <c r="BN33" s="36">
        <v>21.0</v>
      </c>
      <c r="BO33" s="36">
        <v>31.0</v>
      </c>
      <c r="BP33" s="36">
        <v>12.0</v>
      </c>
      <c r="BQ33" s="36">
        <v>21.0</v>
      </c>
      <c r="BR33" s="36">
        <v>99.0</v>
      </c>
      <c r="BS33" s="36">
        <v>41.0</v>
      </c>
      <c r="BT33" s="36">
        <v>24.0</v>
      </c>
      <c r="BU33" s="36">
        <v>84.0</v>
      </c>
      <c r="BV33" s="36">
        <v>18.0</v>
      </c>
    </row>
    <row r="34" ht="15.75" customHeight="1">
      <c r="A34" s="33" t="s">
        <v>173</v>
      </c>
      <c r="B34" s="34" t="s">
        <v>174</v>
      </c>
      <c r="C34" s="33" t="s">
        <v>171</v>
      </c>
      <c r="D34" s="33" t="s">
        <v>175</v>
      </c>
      <c r="E34" s="35" t="s">
        <v>85</v>
      </c>
      <c r="F34" s="35">
        <v>100.0</v>
      </c>
      <c r="G34" s="36">
        <v>39.0</v>
      </c>
      <c r="H34" s="36">
        <v>0.91</v>
      </c>
      <c r="I34" s="36">
        <v>9.54</v>
      </c>
      <c r="J34" s="36">
        <v>0.25</v>
      </c>
      <c r="K34" s="36">
        <v>1.5</v>
      </c>
      <c r="L34" s="36">
        <v>8.39</v>
      </c>
      <c r="M34" s="36">
        <v>0.0</v>
      </c>
      <c r="N34" s="36">
        <v>1.53</v>
      </c>
      <c r="O34" s="36">
        <v>2.0</v>
      </c>
      <c r="P34" s="36">
        <v>4.76</v>
      </c>
      <c r="Q34" s="36">
        <v>0.02</v>
      </c>
      <c r="R34" s="36">
        <v>0.07</v>
      </c>
      <c r="S34" s="36">
        <v>0.09</v>
      </c>
      <c r="T34" s="36">
        <v>16.0</v>
      </c>
      <c r="U34" s="36">
        <v>162.0</v>
      </c>
      <c r="V34" s="36">
        <v>89.0</v>
      </c>
      <c r="W34" s="37">
        <v>42.0</v>
      </c>
      <c r="X34" s="36">
        <v>16.0</v>
      </c>
      <c r="Y34" s="36">
        <v>162.0</v>
      </c>
      <c r="Z34" s="36">
        <v>0.024</v>
      </c>
      <c r="AA34" s="36">
        <v>0.031</v>
      </c>
      <c r="AB34" s="36">
        <v>0.806</v>
      </c>
      <c r="AC34" s="36">
        <v>0.153</v>
      </c>
      <c r="AD34" s="36">
        <v>0.025</v>
      </c>
      <c r="AE34" s="36">
        <v>0.07</v>
      </c>
      <c r="AF34" s="36">
        <v>4.0</v>
      </c>
      <c r="AG34" s="36">
        <v>0.0</v>
      </c>
      <c r="AH34" s="36">
        <v>6.6</v>
      </c>
      <c r="AI34" s="36">
        <v>0.0</v>
      </c>
      <c r="AJ34" s="36">
        <v>0.73</v>
      </c>
      <c r="AK34" s="36">
        <v>2.6</v>
      </c>
      <c r="AL34" s="36">
        <v>0.0</v>
      </c>
      <c r="AM34" s="36">
        <v>6.1</v>
      </c>
      <c r="AN34" s="36">
        <v>6.0</v>
      </c>
      <c r="AO34" s="36">
        <v>0.25</v>
      </c>
      <c r="AP34" s="36">
        <v>9.0</v>
      </c>
      <c r="AQ34" s="36">
        <v>20.0</v>
      </c>
      <c r="AR34" s="36">
        <v>190.0</v>
      </c>
      <c r="AS34" s="36">
        <v>0.0</v>
      </c>
      <c r="AT34" s="36">
        <v>0.17</v>
      </c>
      <c r="AU34" s="36">
        <v>0.068</v>
      </c>
      <c r="AV34" s="36">
        <v>0.061</v>
      </c>
      <c r="AW34" s="36">
        <v>0.1</v>
      </c>
      <c r="AX34" s="36">
        <v>0.0</v>
      </c>
      <c r="AY34" s="36">
        <v>0.0</v>
      </c>
      <c r="AZ34" s="36">
        <v>0.0</v>
      </c>
      <c r="BA34" s="36">
        <v>0.0</v>
      </c>
      <c r="BB34" s="36">
        <v>91.0</v>
      </c>
      <c r="BC34" s="36">
        <v>0.1</v>
      </c>
      <c r="BD34" s="36">
        <v>0.0</v>
      </c>
      <c r="BE34" s="36">
        <v>0.0</v>
      </c>
      <c r="BF34" s="36">
        <v>56.0</v>
      </c>
      <c r="BG34" s="36">
        <v>1863.0</v>
      </c>
      <c r="BH34" s="36">
        <v>8.0</v>
      </c>
      <c r="BI34" s="36">
        <v>14.0</v>
      </c>
      <c r="BJ34" s="36">
        <v>13.0</v>
      </c>
      <c r="BK34" s="36">
        <v>24.0</v>
      </c>
      <c r="BL34" s="36">
        <v>19.0</v>
      </c>
      <c r="BM34" s="36">
        <v>8.0</v>
      </c>
      <c r="BN34" s="36">
        <v>16.0</v>
      </c>
      <c r="BO34" s="36">
        <v>18.0</v>
      </c>
      <c r="BP34" s="36">
        <v>8.0</v>
      </c>
      <c r="BQ34" s="36">
        <v>24.0</v>
      </c>
      <c r="BR34" s="36">
        <v>34.0</v>
      </c>
      <c r="BS34" s="36">
        <v>40.0</v>
      </c>
      <c r="BT34" s="36">
        <v>14.0</v>
      </c>
      <c r="BU34" s="36">
        <v>16.0</v>
      </c>
      <c r="BV34" s="36">
        <v>11.0</v>
      </c>
    </row>
    <row r="35" ht="15.75" customHeight="1">
      <c r="A35" s="33" t="s">
        <v>176</v>
      </c>
      <c r="B35" s="34" t="s">
        <v>177</v>
      </c>
      <c r="C35" s="33" t="s">
        <v>171</v>
      </c>
      <c r="D35" s="33" t="s">
        <v>178</v>
      </c>
      <c r="E35" s="35" t="s">
        <v>85</v>
      </c>
      <c r="F35" s="35">
        <v>100.0</v>
      </c>
      <c r="G35" s="36">
        <v>46.0</v>
      </c>
      <c r="H35" s="36">
        <v>0.7</v>
      </c>
      <c r="I35" s="36">
        <v>11.42</v>
      </c>
      <c r="J35" s="36">
        <v>0.28</v>
      </c>
      <c r="K35" s="36">
        <v>1.4</v>
      </c>
      <c r="L35" s="36">
        <v>9.92</v>
      </c>
      <c r="M35" s="36">
        <v>0.0</v>
      </c>
      <c r="N35" s="36">
        <v>3.07</v>
      </c>
      <c r="O35" s="36">
        <v>5.07</v>
      </c>
      <c r="P35" s="36">
        <v>1.57</v>
      </c>
      <c r="Q35" s="36">
        <v>0.02</v>
      </c>
      <c r="R35" s="36">
        <v>0.05</v>
      </c>
      <c r="S35" s="36">
        <v>0.17</v>
      </c>
      <c r="T35" s="36">
        <v>17.0</v>
      </c>
      <c r="U35" s="36">
        <v>190.0</v>
      </c>
      <c r="V35" s="36">
        <v>88.0</v>
      </c>
      <c r="W35" s="37">
        <v>39.0</v>
      </c>
      <c r="X35" s="36">
        <v>17.0</v>
      </c>
      <c r="Y35" s="36">
        <v>190.0</v>
      </c>
      <c r="Z35" s="36">
        <v>0.028</v>
      </c>
      <c r="AA35" s="36">
        <v>0.026</v>
      </c>
      <c r="AB35" s="36">
        <v>0.417</v>
      </c>
      <c r="AC35" s="36">
        <v>0.135</v>
      </c>
      <c r="AD35" s="36">
        <v>0.029</v>
      </c>
      <c r="AE35" s="36">
        <v>0.04</v>
      </c>
      <c r="AF35" s="36">
        <v>5.0</v>
      </c>
      <c r="AG35" s="36">
        <v>0.0</v>
      </c>
      <c r="AH35" s="36">
        <v>9.5</v>
      </c>
      <c r="AI35" s="36">
        <v>0.0</v>
      </c>
      <c r="AJ35" s="36">
        <v>0.26</v>
      </c>
      <c r="AK35" s="36">
        <v>6.4</v>
      </c>
      <c r="AL35" s="36">
        <v>0.0</v>
      </c>
      <c r="AM35" s="36">
        <v>1.9</v>
      </c>
      <c r="AN35" s="36">
        <v>6.0</v>
      </c>
      <c r="AO35" s="36">
        <v>0.17</v>
      </c>
      <c r="AP35" s="36">
        <v>7.0</v>
      </c>
      <c r="AQ35" s="36">
        <v>16.0</v>
      </c>
      <c r="AR35" s="36">
        <v>157.0</v>
      </c>
      <c r="AS35" s="36">
        <v>0.0</v>
      </c>
      <c r="AT35" s="36">
        <v>0.1</v>
      </c>
      <c r="AU35" s="36">
        <v>0.057</v>
      </c>
      <c r="AV35" s="36">
        <v>0.052</v>
      </c>
      <c r="AW35" s="36">
        <v>0.0</v>
      </c>
      <c r="AX35" s="36">
        <v>0.0</v>
      </c>
      <c r="AY35" s="36">
        <v>0.0</v>
      </c>
      <c r="AZ35" s="36">
        <v>0.0</v>
      </c>
      <c r="BA35" s="36">
        <v>0.0</v>
      </c>
      <c r="BB35" s="36">
        <v>73.0</v>
      </c>
      <c r="BC35" s="36">
        <v>1.3</v>
      </c>
      <c r="BD35" s="36">
        <v>2.2</v>
      </c>
      <c r="BE35" s="36">
        <v>0.0</v>
      </c>
      <c r="BF35" s="36">
        <v>377.0</v>
      </c>
      <c r="BG35" s="36">
        <v>949.0</v>
      </c>
      <c r="BH35" s="36">
        <v>8.0</v>
      </c>
      <c r="BI35" s="36">
        <v>18.0</v>
      </c>
      <c r="BJ35" s="36">
        <v>17.0</v>
      </c>
      <c r="BK35" s="36">
        <v>26.0</v>
      </c>
      <c r="BL35" s="36">
        <v>16.0</v>
      </c>
      <c r="BM35" s="36">
        <v>5.0</v>
      </c>
      <c r="BN35" s="36">
        <v>15.0</v>
      </c>
      <c r="BO35" s="36">
        <v>19.0</v>
      </c>
      <c r="BP35" s="36">
        <v>12.0</v>
      </c>
      <c r="BQ35" s="36">
        <v>11.0</v>
      </c>
      <c r="BR35" s="36">
        <v>28.0</v>
      </c>
      <c r="BS35" s="36">
        <v>29.0</v>
      </c>
      <c r="BT35" s="36">
        <v>13.0</v>
      </c>
      <c r="BU35" s="36">
        <v>20.0</v>
      </c>
      <c r="BV35" s="36">
        <v>15.0</v>
      </c>
    </row>
    <row r="36" ht="15.75" customHeight="1">
      <c r="A36" s="33" t="s">
        <v>179</v>
      </c>
      <c r="B36" s="34" t="s">
        <v>180</v>
      </c>
      <c r="C36" s="33" t="s">
        <v>171</v>
      </c>
      <c r="D36" s="33" t="s">
        <v>181</v>
      </c>
      <c r="E36" s="35" t="s">
        <v>85</v>
      </c>
      <c r="F36" s="35">
        <v>100.0</v>
      </c>
      <c r="G36" s="36">
        <v>63.0</v>
      </c>
      <c r="H36" s="36">
        <v>1.06</v>
      </c>
      <c r="I36" s="36">
        <v>16.01</v>
      </c>
      <c r="J36" s="36">
        <v>0.2</v>
      </c>
      <c r="K36" s="36">
        <v>2.1</v>
      </c>
      <c r="L36" s="36">
        <v>12.82</v>
      </c>
      <c r="M36" s="36">
        <v>0.0</v>
      </c>
      <c r="N36" s="36">
        <v>7.2</v>
      </c>
      <c r="O36" s="36">
        <v>5.37</v>
      </c>
      <c r="P36" s="36">
        <v>0.25</v>
      </c>
      <c r="Q36" s="36">
        <v>0.04</v>
      </c>
      <c r="R36" s="36">
        <v>0.05</v>
      </c>
      <c r="S36" s="36">
        <v>0.05</v>
      </c>
      <c r="T36" s="36">
        <v>3.0</v>
      </c>
      <c r="U36" s="36">
        <v>38.0</v>
      </c>
      <c r="V36" s="36">
        <v>82.0</v>
      </c>
      <c r="W36" s="37">
        <v>63.0</v>
      </c>
      <c r="X36" s="36">
        <v>3.0</v>
      </c>
      <c r="Y36" s="36">
        <v>38.0</v>
      </c>
      <c r="Z36" s="36">
        <v>0.027</v>
      </c>
      <c r="AA36" s="36">
        <v>0.033</v>
      </c>
      <c r="AB36" s="36">
        <v>0.154</v>
      </c>
      <c r="AC36" s="36">
        <v>0.199</v>
      </c>
      <c r="AD36" s="36">
        <v>0.049</v>
      </c>
      <c r="AE36" s="36">
        <v>0.06</v>
      </c>
      <c r="AF36" s="36">
        <v>4.0</v>
      </c>
      <c r="AG36" s="36">
        <v>0.0</v>
      </c>
      <c r="AH36" s="36">
        <v>7.0</v>
      </c>
      <c r="AI36" s="36">
        <v>0.0</v>
      </c>
      <c r="AJ36" s="36">
        <v>0.07</v>
      </c>
      <c r="AK36" s="36">
        <v>2.1</v>
      </c>
      <c r="AL36" s="36">
        <v>0.0</v>
      </c>
      <c r="AM36" s="36">
        <v>6.1</v>
      </c>
      <c r="AN36" s="36">
        <v>13.0</v>
      </c>
      <c r="AO36" s="36">
        <v>0.36</v>
      </c>
      <c r="AP36" s="36">
        <v>11.0</v>
      </c>
      <c r="AQ36" s="36">
        <v>21.0</v>
      </c>
      <c r="AR36" s="36">
        <v>222.0</v>
      </c>
      <c r="AS36" s="36">
        <v>0.0</v>
      </c>
      <c r="AT36" s="36">
        <v>0.07</v>
      </c>
      <c r="AU36" s="36">
        <v>0.06</v>
      </c>
      <c r="AV36" s="36">
        <v>0.07</v>
      </c>
      <c r="AW36" s="36">
        <v>0.0</v>
      </c>
      <c r="AX36" s="36">
        <v>0.0</v>
      </c>
      <c r="AY36" s="36">
        <v>0.0</v>
      </c>
      <c r="AZ36" s="36">
        <v>0.0</v>
      </c>
      <c r="BA36" s="36">
        <v>0.0</v>
      </c>
      <c r="BB36" s="36">
        <v>85.0</v>
      </c>
      <c r="BC36" s="36">
        <v>0.0</v>
      </c>
      <c r="BD36" s="36">
        <v>53.2</v>
      </c>
      <c r="BE36" s="36">
        <v>0.0</v>
      </c>
      <c r="BF36" s="36">
        <v>92.0</v>
      </c>
      <c r="BG36" s="36">
        <v>3365.0</v>
      </c>
      <c r="BH36" s="36">
        <v>7.0</v>
      </c>
      <c r="BI36" s="36">
        <v>17.0</v>
      </c>
      <c r="BJ36" s="36">
        <v>18.0</v>
      </c>
      <c r="BK36" s="36">
        <v>23.0</v>
      </c>
      <c r="BL36" s="36">
        <v>13.0</v>
      </c>
      <c r="BM36" s="36">
        <v>7.0</v>
      </c>
      <c r="BN36" s="36">
        <v>13.0</v>
      </c>
      <c r="BO36" s="36">
        <v>17.0</v>
      </c>
      <c r="BP36" s="36">
        <v>9.0</v>
      </c>
      <c r="BQ36" s="36">
        <v>14.0</v>
      </c>
      <c r="BR36" s="36">
        <v>32.0</v>
      </c>
      <c r="BS36" s="36">
        <v>34.0</v>
      </c>
      <c r="BT36" s="36">
        <v>14.0</v>
      </c>
      <c r="BU36" s="36">
        <v>21.0</v>
      </c>
      <c r="BV36" s="36">
        <v>15.0</v>
      </c>
    </row>
    <row r="37" ht="15.75" customHeight="1">
      <c r="A37" s="33" t="s">
        <v>182</v>
      </c>
      <c r="B37" s="34" t="s">
        <v>183</v>
      </c>
      <c r="C37" s="33" t="s">
        <v>171</v>
      </c>
      <c r="D37" s="33" t="s">
        <v>184</v>
      </c>
      <c r="E37" s="35" t="s">
        <v>85</v>
      </c>
      <c r="F37" s="35">
        <v>100.0</v>
      </c>
      <c r="G37" s="36">
        <v>160.0</v>
      </c>
      <c r="H37" s="36">
        <v>2.0</v>
      </c>
      <c r="I37" s="36">
        <v>8.53</v>
      </c>
      <c r="J37" s="36">
        <v>14.66</v>
      </c>
      <c r="K37" s="36">
        <v>6.7</v>
      </c>
      <c r="L37" s="36">
        <v>0.66</v>
      </c>
      <c r="M37" s="36">
        <v>0.0</v>
      </c>
      <c r="N37" s="36">
        <v>0.12</v>
      </c>
      <c r="O37" s="36">
        <v>0.37</v>
      </c>
      <c r="P37" s="36">
        <v>0.17</v>
      </c>
      <c r="Q37" s="36">
        <v>2.13</v>
      </c>
      <c r="R37" s="36">
        <v>9.8</v>
      </c>
      <c r="S37" s="36">
        <v>1.82</v>
      </c>
      <c r="T37" s="36">
        <v>62.0</v>
      </c>
      <c r="U37" s="36">
        <v>941.0</v>
      </c>
      <c r="V37" s="36">
        <v>73.0</v>
      </c>
      <c r="W37" s="37">
        <v>40.0</v>
      </c>
      <c r="X37" s="36">
        <v>7.0</v>
      </c>
      <c r="Y37" s="36">
        <v>62.0</v>
      </c>
      <c r="Z37" s="36">
        <v>0.067</v>
      </c>
      <c r="AA37" s="36">
        <v>0.13</v>
      </c>
      <c r="AB37" s="36">
        <v>1.738</v>
      </c>
      <c r="AC37" s="36">
        <v>1.389</v>
      </c>
      <c r="AD37" s="36">
        <v>0.257</v>
      </c>
      <c r="AE37" s="36">
        <v>3.64</v>
      </c>
      <c r="AF37" s="36">
        <v>81.0</v>
      </c>
      <c r="AG37" s="36">
        <v>0.0</v>
      </c>
      <c r="AH37" s="36">
        <v>10.0</v>
      </c>
      <c r="AI37" s="36">
        <v>0.0</v>
      </c>
      <c r="AJ37" s="36">
        <v>2.07</v>
      </c>
      <c r="AK37" s="36">
        <v>21.0</v>
      </c>
      <c r="AL37" s="36">
        <v>0.0</v>
      </c>
      <c r="AM37" s="36">
        <v>14.2</v>
      </c>
      <c r="AN37" s="36">
        <v>12.0</v>
      </c>
      <c r="AO37" s="36">
        <v>0.55</v>
      </c>
      <c r="AP37" s="36">
        <v>29.0</v>
      </c>
      <c r="AQ37" s="36">
        <v>52.0</v>
      </c>
      <c r="AR37" s="36">
        <v>485.0</v>
      </c>
      <c r="AS37" s="36">
        <v>7.0</v>
      </c>
      <c r="AT37" s="36">
        <v>0.64</v>
      </c>
      <c r="AU37" s="36">
        <v>0.19</v>
      </c>
      <c r="AV37" s="36">
        <v>0.142</v>
      </c>
      <c r="AW37" s="36">
        <v>0.4</v>
      </c>
      <c r="AX37" s="36">
        <v>0.0</v>
      </c>
      <c r="AY37" s="36">
        <v>0.0</v>
      </c>
      <c r="AZ37" s="36">
        <v>0.0</v>
      </c>
      <c r="BA37" s="36">
        <v>0.0</v>
      </c>
      <c r="BB37" s="36">
        <v>271.0</v>
      </c>
      <c r="BC37" s="36">
        <v>0.0</v>
      </c>
      <c r="BD37" s="36">
        <v>0.0</v>
      </c>
      <c r="BE37" s="36">
        <v>0.0</v>
      </c>
      <c r="BF37" s="36">
        <v>430.0</v>
      </c>
      <c r="BG37" s="36">
        <v>1922.0</v>
      </c>
      <c r="BH37" s="36">
        <v>25.0</v>
      </c>
      <c r="BI37" s="36">
        <v>64.0</v>
      </c>
      <c r="BJ37" s="36">
        <v>84.0</v>
      </c>
      <c r="BK37" s="36">
        <v>138.0</v>
      </c>
      <c r="BL37" s="36">
        <v>129.0</v>
      </c>
      <c r="BM37" s="36">
        <v>35.0</v>
      </c>
      <c r="BN37" s="36">
        <v>88.0</v>
      </c>
      <c r="BO37" s="36">
        <v>107.0</v>
      </c>
      <c r="BP37" s="36">
        <v>47.0</v>
      </c>
      <c r="BQ37" s="36">
        <v>88.0</v>
      </c>
      <c r="BR37" s="36">
        <v>193.0</v>
      </c>
      <c r="BS37" s="36">
        <v>130.0</v>
      </c>
      <c r="BT37" s="36">
        <v>83.0</v>
      </c>
      <c r="BU37" s="36">
        <v>113.0</v>
      </c>
      <c r="BV37" s="36">
        <v>107.0</v>
      </c>
    </row>
    <row r="38" ht="15.75" customHeight="1">
      <c r="A38" s="33" t="s">
        <v>185</v>
      </c>
      <c r="B38" s="34" t="s">
        <v>186</v>
      </c>
      <c r="C38" s="33" t="s">
        <v>171</v>
      </c>
      <c r="D38" s="33" t="s">
        <v>187</v>
      </c>
      <c r="E38" s="35" t="s">
        <v>85</v>
      </c>
      <c r="F38" s="35">
        <v>100.0</v>
      </c>
      <c r="G38" s="36">
        <v>277.0</v>
      </c>
      <c r="H38" s="36">
        <v>1.81</v>
      </c>
      <c r="I38" s="36">
        <v>74.97</v>
      </c>
      <c r="J38" s="36">
        <v>0.15</v>
      </c>
      <c r="K38" s="36">
        <v>6.7</v>
      </c>
      <c r="L38" s="36">
        <v>66.47</v>
      </c>
      <c r="M38" s="36">
        <v>0.0</v>
      </c>
      <c r="N38" s="36">
        <v>31.95</v>
      </c>
      <c r="O38" s="36">
        <v>33.68</v>
      </c>
      <c r="P38" s="36">
        <v>0.84</v>
      </c>
      <c r="Q38" s="36">
        <v>0.03</v>
      </c>
      <c r="R38" s="36">
        <v>0.02</v>
      </c>
      <c r="S38" s="36">
        <v>0.02</v>
      </c>
      <c r="T38" s="36">
        <v>0.0</v>
      </c>
      <c r="U38" s="36">
        <v>0.0</v>
      </c>
      <c r="V38" s="36">
        <v>21.0</v>
      </c>
      <c r="W38" s="37">
        <v>103.0</v>
      </c>
      <c r="X38" s="36">
        <v>0.0</v>
      </c>
      <c r="Y38" s="36">
        <v>0.0</v>
      </c>
      <c r="Z38" s="36">
        <v>0.052</v>
      </c>
      <c r="AA38" s="36">
        <v>0.066</v>
      </c>
      <c r="AB38" s="36">
        <v>1.274</v>
      </c>
      <c r="AC38" s="36">
        <v>0.805</v>
      </c>
      <c r="AD38" s="36">
        <v>0.249</v>
      </c>
      <c r="AE38" s="36">
        <v>0.0</v>
      </c>
      <c r="AF38" s="36">
        <v>15.0</v>
      </c>
      <c r="AG38" s="36">
        <v>0.0</v>
      </c>
      <c r="AH38" s="36">
        <v>0.4</v>
      </c>
      <c r="AI38" s="36">
        <v>0.0</v>
      </c>
      <c r="AJ38" s="36">
        <v>0.05</v>
      </c>
      <c r="AK38" s="36">
        <v>2.7</v>
      </c>
      <c r="AL38" s="36">
        <v>0.0</v>
      </c>
      <c r="AM38" s="36">
        <v>9.9</v>
      </c>
      <c r="AN38" s="36">
        <v>64.0</v>
      </c>
      <c r="AO38" s="36">
        <v>0.9</v>
      </c>
      <c r="AP38" s="36">
        <v>54.0</v>
      </c>
      <c r="AQ38" s="36">
        <v>62.0</v>
      </c>
      <c r="AR38" s="36">
        <v>696.0</v>
      </c>
      <c r="AS38" s="36">
        <v>1.0</v>
      </c>
      <c r="AT38" s="36">
        <v>0.44</v>
      </c>
      <c r="AU38" s="36">
        <v>0.362</v>
      </c>
      <c r="AV38" s="36">
        <v>0.296</v>
      </c>
      <c r="AW38" s="36">
        <v>3.0</v>
      </c>
      <c r="AX38" s="36">
        <v>0.0</v>
      </c>
      <c r="AY38" s="36">
        <v>0.0</v>
      </c>
      <c r="AZ38" s="36">
        <v>0.0</v>
      </c>
      <c r="BA38" s="36">
        <v>0.0</v>
      </c>
      <c r="BB38" s="36">
        <v>0.0</v>
      </c>
      <c r="BC38" s="36">
        <v>0.0</v>
      </c>
      <c r="BD38" s="36">
        <v>0.0</v>
      </c>
      <c r="BE38" s="36">
        <v>0.0</v>
      </c>
      <c r="BF38" s="36">
        <v>690.0</v>
      </c>
      <c r="BG38" s="36">
        <v>3895.0</v>
      </c>
      <c r="BH38" s="36">
        <v>46.0</v>
      </c>
      <c r="BI38" s="36">
        <v>44.0</v>
      </c>
      <c r="BJ38" s="36">
        <v>45.0</v>
      </c>
      <c r="BK38" s="36">
        <v>100.0</v>
      </c>
      <c r="BL38" s="36">
        <v>75.0</v>
      </c>
      <c r="BM38" s="36">
        <v>30.0</v>
      </c>
      <c r="BN38" s="36">
        <v>43.0</v>
      </c>
      <c r="BO38" s="36">
        <v>70.0</v>
      </c>
      <c r="BP38" s="36">
        <v>38.0</v>
      </c>
      <c r="BQ38" s="36">
        <v>97.0</v>
      </c>
      <c r="BR38" s="36">
        <v>148.0</v>
      </c>
      <c r="BS38" s="36">
        <v>136.0</v>
      </c>
      <c r="BT38" s="36">
        <v>44.0</v>
      </c>
      <c r="BU38" s="36">
        <v>57.0</v>
      </c>
      <c r="BV38" s="36">
        <v>50.0</v>
      </c>
    </row>
    <row r="39" ht="15.75" customHeight="1">
      <c r="A39" s="38" t="s">
        <v>188</v>
      </c>
      <c r="B39" s="39" t="s">
        <v>189</v>
      </c>
      <c r="C39" s="38" t="s">
        <v>190</v>
      </c>
      <c r="D39" s="38" t="s">
        <v>191</v>
      </c>
      <c r="E39" s="40" t="s">
        <v>85</v>
      </c>
      <c r="F39" s="40">
        <v>100.0</v>
      </c>
      <c r="G39" s="41">
        <v>52.0</v>
      </c>
      <c r="H39" s="41">
        <v>0.26</v>
      </c>
      <c r="I39" s="41">
        <v>13.81</v>
      </c>
      <c r="J39" s="41">
        <v>0.17</v>
      </c>
      <c r="K39" s="41">
        <v>2.4</v>
      </c>
      <c r="L39" s="41">
        <v>10.39</v>
      </c>
      <c r="M39" s="41">
        <v>0.0</v>
      </c>
      <c r="N39" s="41">
        <v>5.9</v>
      </c>
      <c r="O39" s="41">
        <v>2.43</v>
      </c>
      <c r="P39" s="41">
        <v>2.07</v>
      </c>
      <c r="Q39" s="41">
        <v>0.028</v>
      </c>
      <c r="R39" s="41">
        <v>0.007</v>
      </c>
      <c r="S39" s="41">
        <v>0.051</v>
      </c>
      <c r="T39" s="41">
        <v>3.0</v>
      </c>
      <c r="U39" s="41">
        <v>27.0</v>
      </c>
      <c r="V39" s="41">
        <v>86.0</v>
      </c>
      <c r="W39" s="42">
        <v>36.0</v>
      </c>
      <c r="X39" s="41">
        <v>3.0</v>
      </c>
      <c r="Y39" s="41">
        <v>27.0</v>
      </c>
      <c r="Z39" s="41">
        <v>0.017</v>
      </c>
      <c r="AA39" s="41">
        <v>0.026</v>
      </c>
      <c r="AB39" s="41">
        <v>0.091</v>
      </c>
      <c r="AC39" s="41">
        <v>0.061</v>
      </c>
      <c r="AD39" s="41">
        <v>0.041</v>
      </c>
      <c r="AE39" s="41">
        <v>0.022</v>
      </c>
      <c r="AF39" s="41">
        <v>3.0</v>
      </c>
      <c r="AG39" s="41">
        <v>0.0</v>
      </c>
      <c r="AH39" s="41">
        <v>4.6</v>
      </c>
      <c r="AI39" s="41">
        <v>0.0</v>
      </c>
      <c r="AJ39" s="41">
        <v>0.18</v>
      </c>
      <c r="AK39" s="41">
        <v>2.2</v>
      </c>
      <c r="AL39" s="41">
        <v>0.0</v>
      </c>
      <c r="AM39" s="41">
        <v>3.4</v>
      </c>
      <c r="AN39" s="41">
        <v>6.0</v>
      </c>
      <c r="AO39" s="41">
        <v>0.12</v>
      </c>
      <c r="AP39" s="41">
        <v>5.0</v>
      </c>
      <c r="AQ39" s="41">
        <v>11.0</v>
      </c>
      <c r="AR39" s="41">
        <v>107.0</v>
      </c>
      <c r="AS39" s="41">
        <v>1.0</v>
      </c>
      <c r="AT39" s="41">
        <v>0.04</v>
      </c>
      <c r="AU39" s="41">
        <v>0.027</v>
      </c>
      <c r="AV39" s="41">
        <v>0.035</v>
      </c>
      <c r="AW39" s="41">
        <v>0.0</v>
      </c>
      <c r="AX39" s="41">
        <v>0.0</v>
      </c>
      <c r="AY39" s="41">
        <v>0.0</v>
      </c>
      <c r="AZ39" s="41">
        <v>0.0</v>
      </c>
      <c r="BA39" s="41">
        <v>0.0</v>
      </c>
      <c r="BB39" s="41">
        <v>29.0</v>
      </c>
      <c r="BC39" s="41">
        <v>4.4</v>
      </c>
      <c r="BD39" s="41">
        <v>1.0</v>
      </c>
      <c r="BE39" s="41">
        <v>0.0</v>
      </c>
      <c r="BF39" s="41">
        <v>218.0</v>
      </c>
      <c r="BG39" s="41">
        <v>3082.0</v>
      </c>
      <c r="BH39" s="41">
        <v>4.0</v>
      </c>
      <c r="BI39" s="41">
        <v>6.0</v>
      </c>
      <c r="BJ39" s="41">
        <v>4.0</v>
      </c>
      <c r="BK39" s="41">
        <v>13.0</v>
      </c>
      <c r="BL39" s="41">
        <v>14.0</v>
      </c>
      <c r="BM39" s="41">
        <v>1.0</v>
      </c>
      <c r="BN39" s="41">
        <v>6.0</v>
      </c>
      <c r="BO39" s="41">
        <v>9.0</v>
      </c>
      <c r="BP39" s="41">
        <v>5.0</v>
      </c>
      <c r="BQ39" s="41">
        <v>5.0</v>
      </c>
      <c r="BR39" s="41">
        <v>25.0</v>
      </c>
      <c r="BS39" s="41">
        <v>17.0</v>
      </c>
      <c r="BT39" s="41">
        <v>8.0</v>
      </c>
      <c r="BU39" s="41">
        <v>13.0</v>
      </c>
      <c r="BV39" s="41">
        <v>4.0</v>
      </c>
    </row>
    <row r="40" ht="15.75" customHeight="1">
      <c r="A40" s="38" t="s">
        <v>192</v>
      </c>
      <c r="B40" s="39" t="s">
        <v>193</v>
      </c>
      <c r="C40" s="38" t="s">
        <v>190</v>
      </c>
      <c r="D40" s="38" t="s">
        <v>194</v>
      </c>
      <c r="E40" s="40" t="s">
        <v>85</v>
      </c>
      <c r="F40" s="40">
        <v>100.0</v>
      </c>
      <c r="G40" s="41">
        <v>58.0</v>
      </c>
      <c r="H40" s="41">
        <v>0.44</v>
      </c>
      <c r="I40" s="41">
        <v>15.2</v>
      </c>
      <c r="J40" s="41">
        <v>0.2</v>
      </c>
      <c r="K40" s="41">
        <v>2.8</v>
      </c>
      <c r="L40" s="41">
        <v>12.5</v>
      </c>
      <c r="M40" s="41">
        <v>0.0</v>
      </c>
      <c r="N40" s="41">
        <v>6.6</v>
      </c>
      <c r="O40" s="41">
        <v>2.9</v>
      </c>
      <c r="P40" s="41">
        <v>2.6</v>
      </c>
      <c r="Q40" s="41">
        <v>0.034</v>
      </c>
      <c r="R40" s="41">
        <v>0.008</v>
      </c>
      <c r="S40" s="41">
        <v>0.057</v>
      </c>
      <c r="T40" s="41">
        <v>3.0</v>
      </c>
      <c r="U40" s="41">
        <v>27.0</v>
      </c>
      <c r="V40" s="41">
        <v>84.0</v>
      </c>
      <c r="W40" s="42">
        <v>38.0</v>
      </c>
      <c r="X40" s="41">
        <v>3.0</v>
      </c>
      <c r="Y40" s="41">
        <v>27.0</v>
      </c>
      <c r="Z40" s="41">
        <v>0.018</v>
      </c>
      <c r="AA40" s="41">
        <v>0.03</v>
      </c>
      <c r="AB40" s="41">
        <v>0.095</v>
      </c>
      <c r="AC40" s="41">
        <v>0.065</v>
      </c>
      <c r="AD40" s="41">
        <v>0.045</v>
      </c>
      <c r="AE40" s="41">
        <v>0.025</v>
      </c>
      <c r="AF40" s="41">
        <v>3.0</v>
      </c>
      <c r="AG40" s="41">
        <v>0.0</v>
      </c>
      <c r="AH40" s="41">
        <v>5.7</v>
      </c>
      <c r="AI40" s="41">
        <v>0.0</v>
      </c>
      <c r="AJ40" s="41">
        <v>0.19</v>
      </c>
      <c r="AK40" s="41">
        <v>2.3</v>
      </c>
      <c r="AL40" s="41">
        <v>0.0</v>
      </c>
      <c r="AM40" s="41">
        <v>3.5</v>
      </c>
      <c r="AN40" s="41">
        <v>6.0</v>
      </c>
      <c r="AO40" s="41">
        <v>0.13</v>
      </c>
      <c r="AP40" s="41">
        <v>6.0</v>
      </c>
      <c r="AQ40" s="41">
        <v>12.0</v>
      </c>
      <c r="AR40" s="41">
        <v>110.0</v>
      </c>
      <c r="AS40" s="41">
        <v>1.0</v>
      </c>
      <c r="AT40" s="41">
        <v>0.04</v>
      </c>
      <c r="AU40" s="41">
        <v>0.029</v>
      </c>
      <c r="AV40" s="41">
        <v>0.04</v>
      </c>
      <c r="AW40" s="41">
        <v>0.0</v>
      </c>
      <c r="AX40" s="41">
        <v>0.0</v>
      </c>
      <c r="AY40" s="41">
        <v>0.0</v>
      </c>
      <c r="AZ40" s="41">
        <v>0.0</v>
      </c>
      <c r="BA40" s="41">
        <v>0.0</v>
      </c>
      <c r="BB40" s="41">
        <v>31.0</v>
      </c>
      <c r="BC40" s="41">
        <v>5.0</v>
      </c>
      <c r="BD40" s="41">
        <v>1.2</v>
      </c>
      <c r="BE40" s="41">
        <v>0.0</v>
      </c>
      <c r="BF40" s="41">
        <v>228.0</v>
      </c>
      <c r="BG40" s="41">
        <v>3159.0</v>
      </c>
      <c r="BH40" s="41">
        <v>4.0</v>
      </c>
      <c r="BI40" s="41">
        <v>7.0</v>
      </c>
      <c r="BJ40" s="41">
        <v>5.0</v>
      </c>
      <c r="BK40" s="41">
        <v>14.0</v>
      </c>
      <c r="BL40" s="41">
        <v>15.0</v>
      </c>
      <c r="BM40" s="41">
        <v>1.0</v>
      </c>
      <c r="BN40" s="41">
        <v>7.0</v>
      </c>
      <c r="BO40" s="41">
        <v>10.0</v>
      </c>
      <c r="BP40" s="41">
        <v>5.0</v>
      </c>
      <c r="BQ40" s="41">
        <v>6.0</v>
      </c>
      <c r="BR40" s="41">
        <v>27.0</v>
      </c>
      <c r="BS40" s="41">
        <v>18.0</v>
      </c>
      <c r="BT40" s="41">
        <v>9.0</v>
      </c>
      <c r="BU40" s="41">
        <v>14.0</v>
      </c>
      <c r="BV40" s="41">
        <v>5.0</v>
      </c>
    </row>
    <row r="41" ht="15.75" customHeight="1">
      <c r="A41" s="38" t="s">
        <v>195</v>
      </c>
      <c r="B41" s="39" t="s">
        <v>196</v>
      </c>
      <c r="C41" s="38" t="s">
        <v>190</v>
      </c>
      <c r="D41" s="38" t="s">
        <v>197</v>
      </c>
      <c r="E41" s="40" t="s">
        <v>85</v>
      </c>
      <c r="F41" s="40">
        <v>100.0</v>
      </c>
      <c r="G41" s="41">
        <v>57.0</v>
      </c>
      <c r="H41" s="41">
        <v>0.36</v>
      </c>
      <c r="I41" s="41">
        <v>15.23</v>
      </c>
      <c r="J41" s="41">
        <v>0.14</v>
      </c>
      <c r="K41" s="41">
        <v>3.1</v>
      </c>
      <c r="L41" s="41">
        <v>9.75</v>
      </c>
      <c r="M41" s="41">
        <v>0.0</v>
      </c>
      <c r="N41" s="41">
        <v>6.23</v>
      </c>
      <c r="O41" s="41">
        <v>2.8</v>
      </c>
      <c r="P41" s="41">
        <v>0.72</v>
      </c>
      <c r="Q41" s="41">
        <v>0.021</v>
      </c>
      <c r="R41" s="41">
        <v>0.03</v>
      </c>
      <c r="S41" s="41">
        <v>0.087</v>
      </c>
      <c r="T41" s="41">
        <v>1.0</v>
      </c>
      <c r="U41" s="41">
        <v>13.0</v>
      </c>
      <c r="V41" s="41">
        <v>84.0</v>
      </c>
      <c r="W41" s="42">
        <v>38.0</v>
      </c>
      <c r="X41" s="41">
        <v>1.0</v>
      </c>
      <c r="Y41" s="41">
        <v>13.0</v>
      </c>
      <c r="Z41" s="41">
        <v>0.012</v>
      </c>
      <c r="AA41" s="41">
        <v>0.025</v>
      </c>
      <c r="AB41" s="41">
        <v>0.161</v>
      </c>
      <c r="AC41" s="41">
        <v>0.07</v>
      </c>
      <c r="AD41" s="41">
        <v>0.028</v>
      </c>
      <c r="AE41" s="41">
        <v>0.025</v>
      </c>
      <c r="AF41" s="41">
        <v>7.0</v>
      </c>
      <c r="AG41" s="41">
        <v>0.0</v>
      </c>
      <c r="AH41" s="41">
        <v>4.3</v>
      </c>
      <c r="AI41" s="41">
        <v>0.0</v>
      </c>
      <c r="AJ41" s="41">
        <v>0.12</v>
      </c>
      <c r="AK41" s="41">
        <v>4.4</v>
      </c>
      <c r="AL41" s="41">
        <v>0.0</v>
      </c>
      <c r="AM41" s="41">
        <v>5.1</v>
      </c>
      <c r="AN41" s="41">
        <v>9.0</v>
      </c>
      <c r="AO41" s="41">
        <v>0.18</v>
      </c>
      <c r="AP41" s="41">
        <v>7.0</v>
      </c>
      <c r="AQ41" s="41">
        <v>11.0</v>
      </c>
      <c r="AR41" s="41">
        <v>116.0</v>
      </c>
      <c r="AS41" s="41">
        <v>1.0</v>
      </c>
      <c r="AT41" s="41">
        <v>0.1</v>
      </c>
      <c r="AU41" s="41">
        <v>0.082</v>
      </c>
      <c r="AV41" s="41">
        <v>0.048</v>
      </c>
      <c r="AW41" s="41">
        <v>0.1</v>
      </c>
      <c r="AX41" s="41">
        <v>2.2</v>
      </c>
      <c r="AY41" s="41">
        <v>0.0</v>
      </c>
      <c r="AZ41" s="41">
        <v>0.0</v>
      </c>
      <c r="BA41" s="41">
        <v>0.0</v>
      </c>
      <c r="BB41" s="41">
        <v>44.0</v>
      </c>
      <c r="BC41" s="41">
        <v>0.0</v>
      </c>
      <c r="BD41" s="41">
        <v>0.0</v>
      </c>
      <c r="BE41" s="41">
        <v>0.0</v>
      </c>
      <c r="BF41" s="41">
        <v>51.0</v>
      </c>
      <c r="BG41" s="41">
        <v>1911.0</v>
      </c>
      <c r="BH41" s="41">
        <v>2.0</v>
      </c>
      <c r="BI41" s="41">
        <v>8.0</v>
      </c>
      <c r="BJ41" s="41">
        <v>4.0</v>
      </c>
      <c r="BK41" s="41">
        <v>15.0</v>
      </c>
      <c r="BL41" s="41">
        <v>11.0</v>
      </c>
      <c r="BM41" s="41">
        <v>2.0</v>
      </c>
      <c r="BN41" s="41">
        <v>10.0</v>
      </c>
      <c r="BO41" s="41">
        <v>11.0</v>
      </c>
      <c r="BP41" s="41">
        <v>5.0</v>
      </c>
      <c r="BQ41" s="41">
        <v>7.0</v>
      </c>
      <c r="BR41" s="41">
        <v>25.0</v>
      </c>
      <c r="BS41" s="41">
        <v>24.0</v>
      </c>
      <c r="BT41" s="41">
        <v>9.0</v>
      </c>
      <c r="BU41" s="41">
        <v>11.0</v>
      </c>
      <c r="BV41" s="41">
        <v>5.0</v>
      </c>
    </row>
    <row r="42" ht="15.75" customHeight="1">
      <c r="A42" s="38" t="s">
        <v>198</v>
      </c>
      <c r="B42" s="39" t="s">
        <v>199</v>
      </c>
      <c r="C42" s="38" t="s">
        <v>190</v>
      </c>
      <c r="D42" s="38" t="s">
        <v>97</v>
      </c>
      <c r="E42" s="40" t="s">
        <v>85</v>
      </c>
      <c r="F42" s="40">
        <v>100.0</v>
      </c>
      <c r="G42" s="41">
        <v>57.0</v>
      </c>
      <c r="H42" s="41">
        <v>0.4</v>
      </c>
      <c r="I42" s="41">
        <v>15.3</v>
      </c>
      <c r="J42" s="41">
        <v>0.1</v>
      </c>
      <c r="K42" s="41">
        <v>1.9</v>
      </c>
      <c r="L42" s="41">
        <v>6.3</v>
      </c>
      <c r="M42" s="41">
        <v>0.0</v>
      </c>
      <c r="N42" s="41">
        <v>0.0</v>
      </c>
      <c r="O42" s="41">
        <v>0.0</v>
      </c>
      <c r="P42" s="41">
        <v>0.0</v>
      </c>
      <c r="Q42" s="41">
        <v>0.018</v>
      </c>
      <c r="R42" s="41">
        <v>0.04</v>
      </c>
      <c r="S42" s="41">
        <v>0.04</v>
      </c>
      <c r="T42" s="41">
        <v>2.0</v>
      </c>
      <c r="U42" s="41">
        <v>18.0</v>
      </c>
      <c r="V42" s="41">
        <v>84.0</v>
      </c>
      <c r="W42" s="42">
        <v>35.0</v>
      </c>
      <c r="X42" s="41">
        <v>2.0</v>
      </c>
      <c r="Y42" s="41">
        <v>18.0</v>
      </c>
      <c r="Z42" s="41">
        <v>0.02</v>
      </c>
      <c r="AA42" s="41">
        <v>0.03</v>
      </c>
      <c r="AB42" s="41">
        <v>0.2</v>
      </c>
      <c r="AC42" s="41">
        <v>0.1</v>
      </c>
      <c r="AD42" s="41">
        <v>0.04</v>
      </c>
      <c r="AE42" s="41">
        <v>0.0</v>
      </c>
      <c r="AF42" s="41">
        <v>3.0</v>
      </c>
      <c r="AG42" s="41">
        <v>0.0</v>
      </c>
      <c r="AH42" s="41">
        <v>15.0</v>
      </c>
      <c r="AI42" s="41">
        <v>0.0</v>
      </c>
      <c r="AJ42" s="41">
        <v>0.45</v>
      </c>
      <c r="AK42" s="41">
        <v>4.5</v>
      </c>
      <c r="AL42" s="41">
        <v>0.0</v>
      </c>
      <c r="AM42" s="41">
        <v>0.0</v>
      </c>
      <c r="AN42" s="41">
        <v>11.0</v>
      </c>
      <c r="AO42" s="41">
        <v>0.7</v>
      </c>
      <c r="AP42" s="41">
        <v>8.0</v>
      </c>
      <c r="AQ42" s="41">
        <v>17.0</v>
      </c>
      <c r="AR42" s="41">
        <v>197.0</v>
      </c>
      <c r="AS42" s="41">
        <v>4.0</v>
      </c>
      <c r="AT42" s="41">
        <v>0.04</v>
      </c>
      <c r="AU42" s="41">
        <v>0.13</v>
      </c>
      <c r="AV42" s="41">
        <v>0.07</v>
      </c>
      <c r="AW42" s="41">
        <v>0.6</v>
      </c>
      <c r="AX42" s="41">
        <v>0.0</v>
      </c>
      <c r="AY42" s="41">
        <v>0.0</v>
      </c>
      <c r="AZ42" s="41">
        <v>0.0</v>
      </c>
      <c r="BA42" s="41">
        <v>0.0</v>
      </c>
      <c r="BB42" s="41">
        <v>0.0</v>
      </c>
      <c r="BC42" s="41">
        <v>0.0</v>
      </c>
      <c r="BD42" s="41">
        <v>0.0</v>
      </c>
      <c r="BE42" s="41">
        <v>0.0</v>
      </c>
      <c r="BF42" s="41">
        <v>0.0</v>
      </c>
      <c r="BG42" s="41">
        <v>0.0</v>
      </c>
      <c r="BH42" s="41">
        <v>7.0</v>
      </c>
      <c r="BI42" s="41">
        <v>12.0</v>
      </c>
      <c r="BJ42" s="41">
        <v>9.0</v>
      </c>
      <c r="BK42" s="41">
        <v>13.0</v>
      </c>
      <c r="BL42" s="41">
        <v>12.0</v>
      </c>
      <c r="BM42" s="41">
        <v>4.0</v>
      </c>
      <c r="BN42" s="41">
        <v>11.0</v>
      </c>
      <c r="BO42" s="41">
        <v>14.0</v>
      </c>
      <c r="BP42" s="41">
        <v>8.0</v>
      </c>
      <c r="BQ42" s="41">
        <v>13.0</v>
      </c>
      <c r="BR42" s="41">
        <v>23.0</v>
      </c>
      <c r="BS42" s="41">
        <v>20.0</v>
      </c>
      <c r="BT42" s="41">
        <v>9.0</v>
      </c>
      <c r="BU42" s="41">
        <v>13.0</v>
      </c>
      <c r="BV42" s="41">
        <v>8.0</v>
      </c>
    </row>
    <row r="43" ht="15.75" customHeight="1">
      <c r="A43" s="43" t="s">
        <v>200</v>
      </c>
      <c r="B43" s="44" t="s">
        <v>201</v>
      </c>
      <c r="C43" s="43" t="s">
        <v>202</v>
      </c>
      <c r="D43" s="43" t="s">
        <v>203</v>
      </c>
      <c r="E43" s="45" t="s">
        <v>85</v>
      </c>
      <c r="F43" s="45">
        <v>100.0</v>
      </c>
      <c r="G43" s="46">
        <v>34.0</v>
      </c>
      <c r="H43" s="46">
        <v>0.84</v>
      </c>
      <c r="I43" s="46">
        <v>8.16</v>
      </c>
      <c r="J43" s="46">
        <v>0.19</v>
      </c>
      <c r="K43" s="46">
        <v>0.9</v>
      </c>
      <c r="L43" s="46">
        <v>7.86</v>
      </c>
      <c r="M43" s="46">
        <v>0.0</v>
      </c>
      <c r="N43" s="46">
        <v>1.87</v>
      </c>
      <c r="O43" s="46">
        <v>2.34</v>
      </c>
      <c r="P43" s="46">
        <v>3.64</v>
      </c>
      <c r="Q43" s="46">
        <v>0.05</v>
      </c>
      <c r="R43" s="46">
        <v>0.02</v>
      </c>
      <c r="S43" s="46">
        <v>0.04</v>
      </c>
      <c r="T43" s="46">
        <v>169.0</v>
      </c>
      <c r="U43" s="46">
        <v>2020.0</v>
      </c>
      <c r="V43" s="46">
        <v>90.0</v>
      </c>
      <c r="W43" s="47">
        <v>65.0</v>
      </c>
      <c r="X43" s="46">
        <v>169.0</v>
      </c>
      <c r="Y43" s="46">
        <v>2020.0</v>
      </c>
      <c r="Z43" s="46">
        <v>0.041</v>
      </c>
      <c r="AA43" s="46">
        <v>0.019</v>
      </c>
      <c r="AB43" s="46">
        <v>0.734</v>
      </c>
      <c r="AC43" s="46">
        <v>0.105</v>
      </c>
      <c r="AD43" s="46">
        <v>0.072</v>
      </c>
      <c r="AE43" s="46">
        <v>0.21</v>
      </c>
      <c r="AF43" s="46">
        <v>21.0</v>
      </c>
      <c r="AG43" s="46">
        <v>0.0</v>
      </c>
      <c r="AH43" s="46">
        <v>36.7</v>
      </c>
      <c r="AI43" s="46">
        <v>0.0</v>
      </c>
      <c r="AJ43" s="46">
        <v>0.05</v>
      </c>
      <c r="AK43" s="46">
        <v>2.5</v>
      </c>
      <c r="AL43" s="46">
        <v>0.0</v>
      </c>
      <c r="AM43" s="46">
        <v>7.6</v>
      </c>
      <c r="AN43" s="46">
        <v>9.0</v>
      </c>
      <c r="AO43" s="46">
        <v>0.21</v>
      </c>
      <c r="AP43" s="46">
        <v>12.0</v>
      </c>
      <c r="AQ43" s="46">
        <v>15.0</v>
      </c>
      <c r="AR43" s="46">
        <v>267.0</v>
      </c>
      <c r="AS43" s="46">
        <v>16.0</v>
      </c>
      <c r="AT43" s="46">
        <v>0.18</v>
      </c>
      <c r="AU43" s="46">
        <v>0.041</v>
      </c>
      <c r="AV43" s="46">
        <v>0.041</v>
      </c>
      <c r="AW43" s="46">
        <v>0.4</v>
      </c>
      <c r="AX43" s="46">
        <v>1.2</v>
      </c>
      <c r="AY43" s="46">
        <v>0.0</v>
      </c>
      <c r="AZ43" s="46">
        <v>0.0</v>
      </c>
      <c r="BA43" s="46">
        <v>30.0</v>
      </c>
      <c r="BB43" s="46">
        <v>26.0</v>
      </c>
      <c r="BC43" s="46">
        <v>0.0</v>
      </c>
      <c r="BD43" s="46">
        <v>0.0</v>
      </c>
      <c r="BE43" s="46">
        <v>0.0</v>
      </c>
      <c r="BF43" s="46">
        <v>33.0</v>
      </c>
      <c r="BG43" s="46">
        <v>315.0</v>
      </c>
      <c r="BH43" s="46">
        <v>10.0</v>
      </c>
      <c r="BI43" s="46">
        <v>19.0</v>
      </c>
      <c r="BJ43" s="46">
        <v>20.0</v>
      </c>
      <c r="BK43" s="46">
        <v>24.0</v>
      </c>
      <c r="BL43" s="46">
        <v>18.0</v>
      </c>
      <c r="BM43" s="46">
        <v>6.0</v>
      </c>
      <c r="BN43" s="46">
        <v>17.0</v>
      </c>
      <c r="BO43" s="46">
        <v>19.0</v>
      </c>
      <c r="BP43" s="46">
        <v>10.0</v>
      </c>
      <c r="BQ43" s="46">
        <v>24.0</v>
      </c>
      <c r="BR43" s="46">
        <v>55.0</v>
      </c>
      <c r="BS43" s="46">
        <v>42.0</v>
      </c>
      <c r="BT43" s="46">
        <v>15.0</v>
      </c>
      <c r="BU43" s="46">
        <v>23.0</v>
      </c>
      <c r="BV43" s="46">
        <v>12.0</v>
      </c>
    </row>
    <row r="44" ht="15.75" customHeight="1">
      <c r="A44" s="43" t="s">
        <v>204</v>
      </c>
      <c r="B44" s="44" t="s">
        <v>205</v>
      </c>
      <c r="C44" s="43" t="s">
        <v>202</v>
      </c>
      <c r="D44" s="43" t="s">
        <v>206</v>
      </c>
      <c r="E44" s="45" t="s">
        <v>85</v>
      </c>
      <c r="F44" s="45">
        <v>100.0</v>
      </c>
      <c r="G44" s="46">
        <v>36.0</v>
      </c>
      <c r="H44" s="46">
        <v>0.54</v>
      </c>
      <c r="I44" s="46">
        <v>9.09</v>
      </c>
      <c r="J44" s="46">
        <v>0.14</v>
      </c>
      <c r="K44" s="46">
        <v>0.8</v>
      </c>
      <c r="L44" s="46">
        <v>8.12</v>
      </c>
      <c r="M44" s="46">
        <v>0.0</v>
      </c>
      <c r="N44" s="46">
        <v>1.73</v>
      </c>
      <c r="O44" s="46">
        <v>3.21</v>
      </c>
      <c r="P44" s="46">
        <v>3.18</v>
      </c>
      <c r="Q44" s="46">
        <v>0.04</v>
      </c>
      <c r="R44" s="46">
        <v>0.02</v>
      </c>
      <c r="S44" s="46">
        <v>0.05</v>
      </c>
      <c r="T44" s="46">
        <v>3.0</v>
      </c>
      <c r="U44" s="46">
        <v>30.0</v>
      </c>
      <c r="V44" s="46">
        <v>90.0</v>
      </c>
      <c r="W44" s="47">
        <v>62.0</v>
      </c>
      <c r="X44" s="46">
        <v>3.0</v>
      </c>
      <c r="Y44" s="46">
        <v>30.0</v>
      </c>
      <c r="Z44" s="46">
        <v>0.078</v>
      </c>
      <c r="AA44" s="46">
        <v>0.012</v>
      </c>
      <c r="AB44" s="46">
        <v>0.418</v>
      </c>
      <c r="AC44" s="46">
        <v>0.105</v>
      </c>
      <c r="AD44" s="46">
        <v>0.088</v>
      </c>
      <c r="AE44" s="46">
        <v>0.02</v>
      </c>
      <c r="AF44" s="46">
        <v>19.0</v>
      </c>
      <c r="AG44" s="46">
        <v>0.0</v>
      </c>
      <c r="AH44" s="46">
        <v>18.0</v>
      </c>
      <c r="AI44" s="46">
        <v>0.0</v>
      </c>
      <c r="AJ44" s="46">
        <v>0.02</v>
      </c>
      <c r="AK44" s="46">
        <v>2.9</v>
      </c>
      <c r="AL44" s="46">
        <v>0.0</v>
      </c>
      <c r="AM44" s="46">
        <v>7.3</v>
      </c>
      <c r="AN44" s="46">
        <v>6.0</v>
      </c>
      <c r="AO44" s="46">
        <v>0.17</v>
      </c>
      <c r="AP44" s="46">
        <v>10.0</v>
      </c>
      <c r="AQ44" s="46">
        <v>11.0</v>
      </c>
      <c r="AR44" s="46">
        <v>228.0</v>
      </c>
      <c r="AS44" s="46">
        <v>18.0</v>
      </c>
      <c r="AT44" s="46">
        <v>0.09</v>
      </c>
      <c r="AU44" s="46">
        <v>0.015</v>
      </c>
      <c r="AV44" s="46">
        <v>0.017</v>
      </c>
      <c r="AW44" s="46">
        <v>1.2</v>
      </c>
      <c r="AX44" s="46">
        <v>0.0</v>
      </c>
      <c r="AY44" s="46">
        <v>0.0</v>
      </c>
      <c r="AZ44" s="46">
        <v>0.0</v>
      </c>
      <c r="BA44" s="46">
        <v>0.0</v>
      </c>
      <c r="BB44" s="46">
        <v>27.0</v>
      </c>
      <c r="BC44" s="46">
        <v>0.0</v>
      </c>
      <c r="BD44" s="46">
        <v>0.0</v>
      </c>
      <c r="BE44" s="46">
        <v>0.0</v>
      </c>
      <c r="BF44" s="46">
        <v>20.0</v>
      </c>
      <c r="BG44" s="46">
        <v>241.0</v>
      </c>
      <c r="BH44" s="46">
        <v>9.0</v>
      </c>
      <c r="BI44" s="46">
        <v>14.0</v>
      </c>
      <c r="BJ44" s="46">
        <v>15.0</v>
      </c>
      <c r="BK44" s="46">
        <v>16.0</v>
      </c>
      <c r="BL44" s="46">
        <v>13.0</v>
      </c>
      <c r="BM44" s="46">
        <v>4.0</v>
      </c>
      <c r="BN44" s="46">
        <v>11.0</v>
      </c>
      <c r="BO44" s="46">
        <v>12.0</v>
      </c>
      <c r="BP44" s="46">
        <v>8.0</v>
      </c>
      <c r="BQ44" s="46">
        <v>18.0</v>
      </c>
      <c r="BR44" s="46">
        <v>36.0</v>
      </c>
      <c r="BS44" s="46">
        <v>22.0</v>
      </c>
      <c r="BT44" s="46">
        <v>10.0</v>
      </c>
      <c r="BU44" s="46">
        <v>14.0</v>
      </c>
      <c r="BV44" s="46">
        <v>9.0</v>
      </c>
    </row>
    <row r="45" ht="15.75" customHeight="1">
      <c r="A45" s="48" t="s">
        <v>207</v>
      </c>
      <c r="B45" s="49" t="s">
        <v>208</v>
      </c>
      <c r="C45" s="48" t="s">
        <v>209</v>
      </c>
      <c r="D45" s="48" t="s">
        <v>178</v>
      </c>
      <c r="E45" s="50" t="s">
        <v>85</v>
      </c>
      <c r="F45" s="50">
        <v>100.0</v>
      </c>
      <c r="G45" s="51">
        <v>299.0</v>
      </c>
      <c r="H45" s="51">
        <v>3.07</v>
      </c>
      <c r="I45" s="51">
        <v>79.18</v>
      </c>
      <c r="J45" s="51">
        <v>0.46</v>
      </c>
      <c r="K45" s="51">
        <v>3.7</v>
      </c>
      <c r="L45" s="51">
        <v>59.19</v>
      </c>
      <c r="M45" s="51">
        <v>0.0</v>
      </c>
      <c r="N45" s="51">
        <v>29.68</v>
      </c>
      <c r="O45" s="51">
        <v>27.75</v>
      </c>
      <c r="P45" s="51">
        <v>0.48</v>
      </c>
      <c r="Q45" s="51">
        <v>0.06</v>
      </c>
      <c r="R45" s="51">
        <v>0.01</v>
      </c>
      <c r="S45" s="51">
        <v>0.1</v>
      </c>
      <c r="T45" s="51">
        <v>0.0</v>
      </c>
      <c r="U45" s="51">
        <v>0.0</v>
      </c>
      <c r="V45" s="51">
        <v>15.0</v>
      </c>
      <c r="W45" s="52">
        <v>64.0</v>
      </c>
      <c r="X45" s="51">
        <v>0.0</v>
      </c>
      <c r="Y45" s="51">
        <v>0.0</v>
      </c>
      <c r="Z45" s="51">
        <v>0.106</v>
      </c>
      <c r="AA45" s="51">
        <v>0.125</v>
      </c>
      <c r="AB45" s="51">
        <v>0.766</v>
      </c>
      <c r="AC45" s="51">
        <v>0.095</v>
      </c>
      <c r="AD45" s="51">
        <v>0.174</v>
      </c>
      <c r="AE45" s="51">
        <v>0.0</v>
      </c>
      <c r="AF45" s="51">
        <v>5.0</v>
      </c>
      <c r="AG45" s="51">
        <v>0.0</v>
      </c>
      <c r="AH45" s="51">
        <v>3.2</v>
      </c>
      <c r="AI45" s="51">
        <v>0.0</v>
      </c>
      <c r="AJ45" s="51">
        <v>0.12</v>
      </c>
      <c r="AK45" s="51">
        <v>3.5</v>
      </c>
      <c r="AL45" s="51">
        <v>0.0</v>
      </c>
      <c r="AM45" s="51">
        <v>11.1</v>
      </c>
      <c r="AN45" s="51">
        <v>50.0</v>
      </c>
      <c r="AO45" s="51">
        <v>1.88</v>
      </c>
      <c r="AP45" s="51">
        <v>32.0</v>
      </c>
      <c r="AQ45" s="51">
        <v>101.0</v>
      </c>
      <c r="AR45" s="51">
        <v>749.0</v>
      </c>
      <c r="AS45" s="51">
        <v>11.0</v>
      </c>
      <c r="AT45" s="51">
        <v>0.22</v>
      </c>
      <c r="AU45" s="51">
        <v>0.318</v>
      </c>
      <c r="AV45" s="51">
        <v>0.299</v>
      </c>
      <c r="AW45" s="51">
        <v>0.6</v>
      </c>
      <c r="AX45" s="51">
        <v>0.0</v>
      </c>
      <c r="AY45" s="51">
        <v>0.0</v>
      </c>
      <c r="AZ45" s="51">
        <v>0.0</v>
      </c>
      <c r="BA45" s="51">
        <v>0.0</v>
      </c>
      <c r="BB45" s="51">
        <v>0.0</v>
      </c>
      <c r="BC45" s="51">
        <v>2.3</v>
      </c>
      <c r="BD45" s="51">
        <v>7.5</v>
      </c>
      <c r="BE45" s="51">
        <v>0.01</v>
      </c>
      <c r="BF45" s="51">
        <v>460.0</v>
      </c>
      <c r="BG45" s="51">
        <v>3037.0</v>
      </c>
      <c r="BH45" s="51">
        <v>32.0</v>
      </c>
      <c r="BI45" s="51">
        <v>87.0</v>
      </c>
      <c r="BJ45" s="51">
        <v>39.0</v>
      </c>
      <c r="BK45" s="51">
        <v>69.0</v>
      </c>
      <c r="BL45" s="51">
        <v>59.0</v>
      </c>
      <c r="BM45" s="51">
        <v>14.0</v>
      </c>
      <c r="BN45" s="51">
        <v>55.0</v>
      </c>
      <c r="BO45" s="51">
        <v>68.0</v>
      </c>
      <c r="BP45" s="51">
        <v>26.0</v>
      </c>
      <c r="BQ45" s="51">
        <v>114.0</v>
      </c>
      <c r="BR45" s="51">
        <v>185.0</v>
      </c>
      <c r="BS45" s="51">
        <v>136.0</v>
      </c>
      <c r="BT45" s="51">
        <v>57.0</v>
      </c>
      <c r="BU45" s="51">
        <v>79.0</v>
      </c>
      <c r="BV45" s="51">
        <v>58.0</v>
      </c>
    </row>
    <row r="46" ht="15.75" customHeight="1">
      <c r="A46" s="48" t="s">
        <v>210</v>
      </c>
      <c r="B46" s="49" t="s">
        <v>211</v>
      </c>
      <c r="C46" s="48" t="s">
        <v>209</v>
      </c>
      <c r="D46" s="48" t="s">
        <v>97</v>
      </c>
      <c r="E46" s="50" t="s">
        <v>85</v>
      </c>
      <c r="F46" s="50">
        <v>100.0</v>
      </c>
      <c r="G46" s="51">
        <v>249.0</v>
      </c>
      <c r="H46" s="51">
        <v>3.3</v>
      </c>
      <c r="I46" s="51">
        <v>63.87</v>
      </c>
      <c r="J46" s="51">
        <v>0.93</v>
      </c>
      <c r="K46" s="51">
        <v>9.8</v>
      </c>
      <c r="L46" s="51">
        <v>47.92</v>
      </c>
      <c r="M46" s="51">
        <v>0.0</v>
      </c>
      <c r="N46" s="51">
        <v>22.93</v>
      </c>
      <c r="O46" s="51">
        <v>24.82</v>
      </c>
      <c r="P46" s="51">
        <v>0.17</v>
      </c>
      <c r="Q46" s="51">
        <v>0.17</v>
      </c>
      <c r="R46" s="51">
        <v>0.2</v>
      </c>
      <c r="S46" s="51">
        <v>0.44</v>
      </c>
      <c r="T46" s="51">
        <v>0.0</v>
      </c>
      <c r="U46" s="51">
        <v>6.0</v>
      </c>
      <c r="V46" s="51">
        <v>30.0</v>
      </c>
      <c r="W46" s="52">
        <v>61.0</v>
      </c>
      <c r="X46" s="51">
        <v>0.0</v>
      </c>
      <c r="Y46" s="51">
        <v>6.0</v>
      </c>
      <c r="Z46" s="51">
        <v>0.085</v>
      </c>
      <c r="AA46" s="51">
        <v>0.082</v>
      </c>
      <c r="AB46" s="51">
        <v>0.619</v>
      </c>
      <c r="AC46" s="51">
        <v>0.434</v>
      </c>
      <c r="AD46" s="51">
        <v>0.106</v>
      </c>
      <c r="AE46" s="51">
        <v>0.09</v>
      </c>
      <c r="AF46" s="51">
        <v>9.0</v>
      </c>
      <c r="AG46" s="51">
        <v>0.0</v>
      </c>
      <c r="AH46" s="51">
        <v>1.2</v>
      </c>
      <c r="AI46" s="51">
        <v>0.0</v>
      </c>
      <c r="AJ46" s="51">
        <v>0.35</v>
      </c>
      <c r="AK46" s="51">
        <v>15.6</v>
      </c>
      <c r="AL46" s="51">
        <v>0.0</v>
      </c>
      <c r="AM46" s="51">
        <v>14.2</v>
      </c>
      <c r="AN46" s="51">
        <v>162.0</v>
      </c>
      <c r="AO46" s="51">
        <v>2.03</v>
      </c>
      <c r="AP46" s="51">
        <v>68.0</v>
      </c>
      <c r="AQ46" s="51">
        <v>67.0</v>
      </c>
      <c r="AR46" s="51">
        <v>680.0</v>
      </c>
      <c r="AS46" s="51">
        <v>10.0</v>
      </c>
      <c r="AT46" s="51">
        <v>0.55</v>
      </c>
      <c r="AU46" s="51">
        <v>0.287</v>
      </c>
      <c r="AV46" s="51">
        <v>0.51</v>
      </c>
      <c r="AW46" s="51">
        <v>0.6</v>
      </c>
      <c r="AX46" s="51">
        <v>0.0</v>
      </c>
      <c r="AY46" s="51">
        <v>0.0</v>
      </c>
      <c r="AZ46" s="51">
        <v>0.0</v>
      </c>
      <c r="BA46" s="51">
        <v>0.0</v>
      </c>
      <c r="BB46" s="51">
        <v>32.0</v>
      </c>
      <c r="BC46" s="51">
        <v>0.0</v>
      </c>
      <c r="BD46" s="51">
        <v>0.0</v>
      </c>
      <c r="BE46" s="51">
        <v>0.0</v>
      </c>
      <c r="BF46" s="51">
        <v>960.0</v>
      </c>
      <c r="BG46" s="51">
        <v>3383.0</v>
      </c>
      <c r="BH46" s="51">
        <v>27.0</v>
      </c>
      <c r="BI46" s="51">
        <v>67.0</v>
      </c>
      <c r="BJ46" s="51">
        <v>62.0</v>
      </c>
      <c r="BK46" s="51">
        <v>94.0</v>
      </c>
      <c r="BL46" s="51">
        <v>80.0</v>
      </c>
      <c r="BM46" s="51">
        <v>20.0</v>
      </c>
      <c r="BN46" s="51">
        <v>76.0</v>
      </c>
      <c r="BO46" s="51">
        <v>94.0</v>
      </c>
      <c r="BP46" s="51">
        <v>42.0</v>
      </c>
      <c r="BQ46" s="51">
        <v>115.0</v>
      </c>
      <c r="BR46" s="51">
        <v>148.0</v>
      </c>
      <c r="BS46" s="51">
        <v>175.0</v>
      </c>
      <c r="BT46" s="51">
        <v>65.0</v>
      </c>
      <c r="BU46" s="51">
        <v>88.0</v>
      </c>
      <c r="BV46" s="51">
        <v>70.0</v>
      </c>
    </row>
    <row r="47" ht="15.75" customHeight="1">
      <c r="A47" s="48" t="s">
        <v>212</v>
      </c>
      <c r="B47" s="49" t="s">
        <v>213</v>
      </c>
      <c r="C47" s="48" t="s">
        <v>209</v>
      </c>
      <c r="D47" s="48" t="s">
        <v>214</v>
      </c>
      <c r="E47" s="50" t="s">
        <v>85</v>
      </c>
      <c r="F47" s="50">
        <v>100.0</v>
      </c>
      <c r="G47" s="51">
        <v>241.0</v>
      </c>
      <c r="H47" s="51">
        <v>3.39</v>
      </c>
      <c r="I47" s="51">
        <v>62.64</v>
      </c>
      <c r="J47" s="51">
        <v>0.51</v>
      </c>
      <c r="K47" s="51">
        <v>7.3</v>
      </c>
      <c r="L47" s="51">
        <v>53.44</v>
      </c>
      <c r="M47" s="51">
        <v>0.0</v>
      </c>
      <c r="N47" s="51">
        <v>12.2</v>
      </c>
      <c r="O47" s="51">
        <v>26.45</v>
      </c>
      <c r="P47" s="51">
        <v>14.79</v>
      </c>
      <c r="Q47" s="51">
        <v>0.01</v>
      </c>
      <c r="R47" s="51">
        <v>0.05</v>
      </c>
      <c r="S47" s="51">
        <v>0.07</v>
      </c>
      <c r="T47" s="51">
        <v>180.0</v>
      </c>
      <c r="U47" s="51">
        <v>2163.0</v>
      </c>
      <c r="V47" s="51">
        <v>31.0</v>
      </c>
      <c r="W47" s="52">
        <v>57.0</v>
      </c>
      <c r="X47" s="51">
        <v>180.0</v>
      </c>
      <c r="Y47" s="51">
        <v>2163.0</v>
      </c>
      <c r="Z47" s="51">
        <v>0.0</v>
      </c>
      <c r="AA47" s="51">
        <v>0.074</v>
      </c>
      <c r="AB47" s="51">
        <v>2.589</v>
      </c>
      <c r="AC47" s="51">
        <v>0.516</v>
      </c>
      <c r="AD47" s="51">
        <v>0.143</v>
      </c>
      <c r="AE47" s="51">
        <v>0.0</v>
      </c>
      <c r="AF47" s="51">
        <v>13.0</v>
      </c>
      <c r="AG47" s="51">
        <v>0.0</v>
      </c>
      <c r="AH47" s="51">
        <v>1.0</v>
      </c>
      <c r="AI47" s="51">
        <v>0.0</v>
      </c>
      <c r="AJ47" s="51">
        <v>4.33</v>
      </c>
      <c r="AK47" s="51">
        <v>3.1</v>
      </c>
      <c r="AL47" s="51">
        <v>0.0</v>
      </c>
      <c r="AM47" s="51">
        <v>13.5</v>
      </c>
      <c r="AN47" s="51">
        <v>55.0</v>
      </c>
      <c r="AO47" s="51">
        <v>6.31</v>
      </c>
      <c r="AP47" s="51">
        <v>32.0</v>
      </c>
      <c r="AQ47" s="51">
        <v>71.0</v>
      </c>
      <c r="AR47" s="51">
        <v>1162.0</v>
      </c>
      <c r="AS47" s="51">
        <v>10.0</v>
      </c>
      <c r="AT47" s="51">
        <v>0.39</v>
      </c>
      <c r="AU47" s="51">
        <v>0.343</v>
      </c>
      <c r="AV47" s="51">
        <v>0.235</v>
      </c>
      <c r="AW47" s="51">
        <v>2.2</v>
      </c>
      <c r="AX47" s="51">
        <v>0.0</v>
      </c>
      <c r="AY47" s="51">
        <v>0.0</v>
      </c>
      <c r="AZ47" s="51">
        <v>0.0</v>
      </c>
      <c r="BA47" s="51">
        <v>0.0</v>
      </c>
      <c r="BB47" s="51">
        <v>131.0</v>
      </c>
      <c r="BC47" s="51">
        <v>0.9</v>
      </c>
      <c r="BD47" s="51">
        <v>0.0</v>
      </c>
      <c r="BE47" s="51">
        <v>0.0</v>
      </c>
      <c r="BF47" s="51">
        <v>315.0</v>
      </c>
      <c r="BG47" s="51">
        <v>3234.0</v>
      </c>
      <c r="BH47" s="51">
        <v>6.0</v>
      </c>
      <c r="BI47" s="51">
        <v>47.0</v>
      </c>
      <c r="BJ47" s="51">
        <v>47.0</v>
      </c>
      <c r="BK47" s="51">
        <v>92.0</v>
      </c>
      <c r="BL47" s="51">
        <v>70.0</v>
      </c>
      <c r="BM47" s="51">
        <v>7.0</v>
      </c>
      <c r="BN47" s="51">
        <v>55.0</v>
      </c>
      <c r="BO47" s="51">
        <v>64.0</v>
      </c>
      <c r="BP47" s="51">
        <v>32.0</v>
      </c>
      <c r="BQ47" s="51">
        <v>55.0</v>
      </c>
      <c r="BR47" s="51">
        <v>147.0</v>
      </c>
      <c r="BS47" s="51">
        <v>102.0</v>
      </c>
      <c r="BT47" s="51">
        <v>40.0</v>
      </c>
      <c r="BU47" s="51">
        <v>63.0</v>
      </c>
      <c r="BV47" s="51">
        <v>50.0</v>
      </c>
    </row>
    <row r="48" ht="15.75" customHeight="1">
      <c r="A48" s="48" t="s">
        <v>215</v>
      </c>
      <c r="B48" s="49" t="s">
        <v>216</v>
      </c>
      <c r="C48" s="48" t="s">
        <v>209</v>
      </c>
      <c r="D48" s="48" t="s">
        <v>217</v>
      </c>
      <c r="E48" s="50" t="s">
        <v>85</v>
      </c>
      <c r="F48" s="50">
        <v>100.0</v>
      </c>
      <c r="G48" s="51">
        <v>240.0</v>
      </c>
      <c r="H48" s="51">
        <v>2.18</v>
      </c>
      <c r="I48" s="51">
        <v>63.88</v>
      </c>
      <c r="J48" s="51">
        <v>0.38</v>
      </c>
      <c r="K48" s="51">
        <v>7.1</v>
      </c>
      <c r="L48" s="51">
        <v>38.13</v>
      </c>
      <c r="M48" s="51">
        <v>0.0</v>
      </c>
      <c r="N48" s="51">
        <v>12.45</v>
      </c>
      <c r="O48" s="51">
        <v>25.22</v>
      </c>
      <c r="P48" s="51">
        <v>0.46</v>
      </c>
      <c r="Q48" s="51">
        <v>0.03</v>
      </c>
      <c r="R48" s="51">
        <v>0.13</v>
      </c>
      <c r="S48" s="51">
        <v>0.06</v>
      </c>
      <c r="T48" s="51">
        <v>39.0</v>
      </c>
      <c r="U48" s="51">
        <v>394.0</v>
      </c>
      <c r="V48" s="51">
        <v>31.0</v>
      </c>
      <c r="W48" s="52">
        <v>29.0</v>
      </c>
      <c r="X48" s="51">
        <v>39.0</v>
      </c>
      <c r="Y48" s="51">
        <v>394.0</v>
      </c>
      <c r="Z48" s="51">
        <v>0.051</v>
      </c>
      <c r="AA48" s="51">
        <v>0.192</v>
      </c>
      <c r="AB48" s="51">
        <v>1.882</v>
      </c>
      <c r="AC48" s="51">
        <v>0.422</v>
      </c>
      <c r="AD48" s="51">
        <v>0.205</v>
      </c>
      <c r="AE48" s="51">
        <v>0.05</v>
      </c>
      <c r="AF48" s="51">
        <v>3.0</v>
      </c>
      <c r="AG48" s="51">
        <v>0.0</v>
      </c>
      <c r="AH48" s="51">
        <v>0.6</v>
      </c>
      <c r="AI48" s="51">
        <v>0.0</v>
      </c>
      <c r="AJ48" s="51">
        <v>0.43</v>
      </c>
      <c r="AK48" s="51">
        <v>59.5</v>
      </c>
      <c r="AL48" s="51">
        <v>0.0</v>
      </c>
      <c r="AM48" s="51">
        <v>10.1</v>
      </c>
      <c r="AN48" s="51">
        <v>43.0</v>
      </c>
      <c r="AO48" s="51">
        <v>0.93</v>
      </c>
      <c r="AP48" s="51">
        <v>41.0</v>
      </c>
      <c r="AQ48" s="51">
        <v>69.0</v>
      </c>
      <c r="AR48" s="51">
        <v>732.0</v>
      </c>
      <c r="AS48" s="51">
        <v>2.0</v>
      </c>
      <c r="AT48" s="51">
        <v>0.44</v>
      </c>
      <c r="AU48" s="51">
        <v>0.281</v>
      </c>
      <c r="AV48" s="51">
        <v>0.299</v>
      </c>
      <c r="AW48" s="51">
        <v>0.3</v>
      </c>
      <c r="AX48" s="51">
        <v>0.0</v>
      </c>
      <c r="AY48" s="51">
        <v>0.0</v>
      </c>
      <c r="AZ48" s="51">
        <v>0.0</v>
      </c>
      <c r="BA48" s="51">
        <v>0.0</v>
      </c>
      <c r="BB48" s="51">
        <v>148.0</v>
      </c>
      <c r="BC48" s="51">
        <v>0.9</v>
      </c>
      <c r="BD48" s="51">
        <v>0.5</v>
      </c>
      <c r="BE48" s="51">
        <v>0.0</v>
      </c>
      <c r="BF48" s="51">
        <v>184.0</v>
      </c>
      <c r="BG48" s="51">
        <v>6552.0</v>
      </c>
      <c r="BH48" s="51">
        <v>30.0</v>
      </c>
      <c r="BI48" s="51">
        <v>68.0</v>
      </c>
      <c r="BJ48" s="51">
        <v>57.0</v>
      </c>
      <c r="BK48" s="51">
        <v>100.0</v>
      </c>
      <c r="BL48" s="51">
        <v>58.0</v>
      </c>
      <c r="BM48" s="51">
        <v>17.0</v>
      </c>
      <c r="BN48" s="51">
        <v>55.0</v>
      </c>
      <c r="BO48" s="51">
        <v>67.0</v>
      </c>
      <c r="BP48" s="51">
        <v>32.0</v>
      </c>
      <c r="BQ48" s="51">
        <v>48.0</v>
      </c>
      <c r="BR48" s="51">
        <v>104.0</v>
      </c>
      <c r="BS48" s="51">
        <v>102.0</v>
      </c>
      <c r="BT48" s="51">
        <v>35.0</v>
      </c>
      <c r="BU48" s="51">
        <v>57.0</v>
      </c>
      <c r="BV48" s="51">
        <v>53.0</v>
      </c>
    </row>
    <row r="49" ht="15.75" customHeight="1">
      <c r="A49" s="53" t="s">
        <v>218</v>
      </c>
      <c r="B49" s="54" t="s">
        <v>219</v>
      </c>
      <c r="C49" s="53" t="s">
        <v>220</v>
      </c>
      <c r="D49" s="53" t="s">
        <v>146</v>
      </c>
      <c r="E49" s="55" t="s">
        <v>85</v>
      </c>
      <c r="F49" s="55">
        <v>100.0</v>
      </c>
      <c r="G49" s="56">
        <v>239.0</v>
      </c>
      <c r="H49" s="56">
        <v>2.8</v>
      </c>
      <c r="I49" s="56">
        <v>62.5</v>
      </c>
      <c r="J49" s="56">
        <v>0.6</v>
      </c>
      <c r="K49" s="56">
        <v>5.1</v>
      </c>
      <c r="L49" s="56">
        <v>38.8</v>
      </c>
      <c r="M49" s="56">
        <v>0.0</v>
      </c>
      <c r="N49" s="56">
        <v>0.0</v>
      </c>
      <c r="O49" s="56">
        <v>0.0</v>
      </c>
      <c r="P49" s="56">
        <v>0.0</v>
      </c>
      <c r="Q49" s="56">
        <v>0.27</v>
      </c>
      <c r="R49" s="56">
        <v>0.1</v>
      </c>
      <c r="S49" s="56">
        <v>0.14</v>
      </c>
      <c r="T49" s="56">
        <v>2.0</v>
      </c>
      <c r="U49" s="56">
        <v>18.0</v>
      </c>
      <c r="V49" s="56">
        <v>31.0</v>
      </c>
      <c r="W49" s="57">
        <v>65.0</v>
      </c>
      <c r="X49" s="56">
        <v>2.0</v>
      </c>
      <c r="Y49" s="56">
        <v>18.0</v>
      </c>
      <c r="Z49" s="56">
        <v>0.428</v>
      </c>
      <c r="AA49" s="56">
        <v>0.152</v>
      </c>
      <c r="AB49" s="56">
        <v>1.938</v>
      </c>
      <c r="AC49" s="56">
        <v>0.143</v>
      </c>
      <c r="AD49" s="56">
        <v>0.066</v>
      </c>
      <c r="AE49" s="56">
        <v>0.0</v>
      </c>
      <c r="AF49" s="56">
        <v>14.0</v>
      </c>
      <c r="AG49" s="56">
        <v>0.0</v>
      </c>
      <c r="AH49" s="56">
        <v>3.5</v>
      </c>
      <c r="AI49" s="56">
        <v>0.0</v>
      </c>
      <c r="AJ49" s="56">
        <v>0.1</v>
      </c>
      <c r="AK49" s="56">
        <v>2.8</v>
      </c>
      <c r="AL49" s="56">
        <v>0.0</v>
      </c>
      <c r="AM49" s="56">
        <v>8.6</v>
      </c>
      <c r="AN49" s="56">
        <v>74.0</v>
      </c>
      <c r="AO49" s="56">
        <v>2.8</v>
      </c>
      <c r="AP49" s="56">
        <v>92.0</v>
      </c>
      <c r="AQ49" s="56">
        <v>113.0</v>
      </c>
      <c r="AR49" s="56">
        <v>628.0</v>
      </c>
      <c r="AS49" s="56">
        <v>28.0</v>
      </c>
      <c r="AT49" s="56">
        <v>0.1</v>
      </c>
      <c r="AU49" s="56">
        <v>0.086</v>
      </c>
      <c r="AV49" s="56">
        <v>0.143</v>
      </c>
      <c r="AW49" s="56">
        <v>1.3</v>
      </c>
      <c r="AX49" s="56">
        <v>0.0</v>
      </c>
      <c r="AY49" s="56">
        <v>0.0</v>
      </c>
      <c r="AZ49" s="56">
        <v>0.0</v>
      </c>
      <c r="BA49" s="56">
        <v>0.0</v>
      </c>
      <c r="BB49" s="56">
        <v>0.0</v>
      </c>
      <c r="BC49" s="56">
        <v>0.0</v>
      </c>
      <c r="BD49" s="56">
        <v>0.0</v>
      </c>
      <c r="BE49" s="56">
        <v>0.0</v>
      </c>
      <c r="BF49" s="56">
        <v>0.0</v>
      </c>
      <c r="BG49" s="56">
        <v>0.0</v>
      </c>
      <c r="BH49" s="56">
        <v>28.0</v>
      </c>
      <c r="BI49" s="56">
        <v>85.0</v>
      </c>
      <c r="BJ49" s="56">
        <v>62.0</v>
      </c>
      <c r="BK49" s="56">
        <v>128.0</v>
      </c>
      <c r="BL49" s="56">
        <v>89.0</v>
      </c>
      <c r="BM49" s="56">
        <v>19.0</v>
      </c>
      <c r="BN49" s="56">
        <v>72.0</v>
      </c>
      <c r="BO49" s="56">
        <v>87.0</v>
      </c>
      <c r="BP49" s="56">
        <v>45.0</v>
      </c>
      <c r="BQ49" s="56">
        <v>183.0</v>
      </c>
      <c r="BR49" s="56">
        <v>229.0</v>
      </c>
      <c r="BS49" s="56">
        <v>196.0</v>
      </c>
      <c r="BT49" s="56">
        <v>78.0</v>
      </c>
      <c r="BU49" s="56">
        <v>86.0</v>
      </c>
      <c r="BV49" s="56">
        <v>81.0</v>
      </c>
    </row>
    <row r="50" ht="15.75" customHeight="1">
      <c r="A50" s="53" t="s">
        <v>221</v>
      </c>
      <c r="B50" s="54" t="s">
        <v>222</v>
      </c>
      <c r="C50" s="53" t="s">
        <v>220</v>
      </c>
      <c r="D50" s="53" t="s">
        <v>223</v>
      </c>
      <c r="E50" s="55" t="s">
        <v>85</v>
      </c>
      <c r="F50" s="55">
        <v>100.0</v>
      </c>
      <c r="G50" s="56">
        <v>79.0</v>
      </c>
      <c r="H50" s="56">
        <v>1.2</v>
      </c>
      <c r="I50" s="56">
        <v>20.23</v>
      </c>
      <c r="J50" s="56">
        <v>0.2</v>
      </c>
      <c r="K50" s="56">
        <v>0.6</v>
      </c>
      <c r="L50" s="56">
        <v>18.53</v>
      </c>
      <c r="M50" s="56">
        <v>0.0</v>
      </c>
      <c r="N50" s="56">
        <v>0.0</v>
      </c>
      <c r="O50" s="56">
        <v>0.0</v>
      </c>
      <c r="P50" s="56">
        <v>0.0</v>
      </c>
      <c r="Q50" s="56">
        <v>0.0</v>
      </c>
      <c r="R50" s="56">
        <v>0.07</v>
      </c>
      <c r="S50" s="56">
        <v>0.06</v>
      </c>
      <c r="T50" s="56">
        <v>0.0</v>
      </c>
      <c r="U50" s="56">
        <v>0.0</v>
      </c>
      <c r="V50" s="56">
        <v>79.0</v>
      </c>
      <c r="W50" s="57">
        <v>0.0</v>
      </c>
      <c r="X50" s="56">
        <v>0.0</v>
      </c>
      <c r="Y50" s="56">
        <v>0.0</v>
      </c>
      <c r="Z50" s="56">
        <v>0.02</v>
      </c>
      <c r="AA50" s="56">
        <v>0.04</v>
      </c>
      <c r="AB50" s="56">
        <v>0.9</v>
      </c>
      <c r="AC50" s="56">
        <v>0.0</v>
      </c>
      <c r="AD50" s="56">
        <v>0.08</v>
      </c>
      <c r="AE50" s="56">
        <v>0.0</v>
      </c>
      <c r="AF50" s="56">
        <v>30.0</v>
      </c>
      <c r="AG50" s="56">
        <v>0.0</v>
      </c>
      <c r="AH50" s="56">
        <v>69.0</v>
      </c>
      <c r="AI50" s="56">
        <v>0.0</v>
      </c>
      <c r="AJ50" s="56">
        <v>0.0</v>
      </c>
      <c r="AK50" s="56">
        <v>0.0</v>
      </c>
      <c r="AL50" s="56">
        <v>0.0</v>
      </c>
      <c r="AM50" s="56">
        <v>0.0</v>
      </c>
      <c r="AN50" s="56">
        <v>21.0</v>
      </c>
      <c r="AO50" s="56">
        <v>0.48</v>
      </c>
      <c r="AP50" s="56">
        <v>10.0</v>
      </c>
      <c r="AQ50" s="56">
        <v>23.0</v>
      </c>
      <c r="AR50" s="56">
        <v>250.0</v>
      </c>
      <c r="AS50" s="56">
        <v>3.0</v>
      </c>
      <c r="AT50" s="56">
        <v>0.05</v>
      </c>
      <c r="AU50" s="56">
        <v>0.073</v>
      </c>
      <c r="AV50" s="56">
        <v>0.084</v>
      </c>
      <c r="AW50" s="56">
        <v>0.6</v>
      </c>
      <c r="AX50" s="56">
        <v>0.0</v>
      </c>
      <c r="AY50" s="56">
        <v>0.0</v>
      </c>
      <c r="AZ50" s="56">
        <v>0.0</v>
      </c>
      <c r="BA50" s="56">
        <v>0.0</v>
      </c>
      <c r="BB50" s="56">
        <v>0.0</v>
      </c>
      <c r="BC50" s="56">
        <v>0.0</v>
      </c>
      <c r="BD50" s="56">
        <v>0.0</v>
      </c>
      <c r="BE50" s="56">
        <v>0.0</v>
      </c>
      <c r="BF50" s="56">
        <v>0.0</v>
      </c>
      <c r="BG50" s="56">
        <v>0.0</v>
      </c>
      <c r="BH50" s="56">
        <v>0.0</v>
      </c>
      <c r="BI50" s="56">
        <v>0.0</v>
      </c>
      <c r="BJ50" s="56">
        <v>0.0</v>
      </c>
      <c r="BK50" s="56">
        <v>0.0</v>
      </c>
      <c r="BL50" s="56">
        <v>0.0</v>
      </c>
      <c r="BM50" s="56">
        <v>0.0</v>
      </c>
      <c r="BN50" s="56">
        <v>0.0</v>
      </c>
      <c r="BO50" s="56">
        <v>0.0</v>
      </c>
      <c r="BP50" s="56">
        <v>0.0</v>
      </c>
      <c r="BQ50" s="56">
        <v>0.0</v>
      </c>
      <c r="BR50" s="56">
        <v>0.0</v>
      </c>
      <c r="BS50" s="56">
        <v>0.0</v>
      </c>
      <c r="BT50" s="56">
        <v>0.0</v>
      </c>
      <c r="BU50" s="56">
        <v>0.0</v>
      </c>
      <c r="BV50" s="56">
        <v>0.0</v>
      </c>
    </row>
    <row r="51" ht="15.75" customHeight="1">
      <c r="A51" s="53" t="s">
        <v>224</v>
      </c>
      <c r="B51" s="54" t="s">
        <v>225</v>
      </c>
      <c r="C51" s="53" t="s">
        <v>220</v>
      </c>
      <c r="D51" s="53" t="s">
        <v>226</v>
      </c>
      <c r="E51" s="55" t="s">
        <v>85</v>
      </c>
      <c r="F51" s="55">
        <v>100.0</v>
      </c>
      <c r="G51" s="56">
        <v>94.0</v>
      </c>
      <c r="H51" s="56">
        <v>2.06</v>
      </c>
      <c r="I51" s="56">
        <v>23.64</v>
      </c>
      <c r="J51" s="56">
        <v>0.29</v>
      </c>
      <c r="K51" s="56">
        <v>4.4</v>
      </c>
      <c r="L51" s="56">
        <v>18.67</v>
      </c>
      <c r="M51" s="56">
        <v>0.0</v>
      </c>
      <c r="N51" s="56">
        <v>7.3</v>
      </c>
      <c r="O51" s="56">
        <v>5.19</v>
      </c>
      <c r="P51" s="56">
        <v>6.18</v>
      </c>
      <c r="Q51" s="56">
        <v>0.03</v>
      </c>
      <c r="R51" s="56">
        <v>0.08</v>
      </c>
      <c r="S51" s="56">
        <v>0.14</v>
      </c>
      <c r="T51" s="56">
        <v>2.0</v>
      </c>
      <c r="U51" s="56">
        <v>17.0</v>
      </c>
      <c r="V51" s="56">
        <v>72.0</v>
      </c>
      <c r="W51" s="57">
        <v>54.0</v>
      </c>
      <c r="X51" s="56">
        <v>2.0</v>
      </c>
      <c r="Y51" s="56">
        <v>17.0</v>
      </c>
      <c r="Z51" s="56">
        <v>0.087</v>
      </c>
      <c r="AA51" s="56">
        <v>0.1</v>
      </c>
      <c r="AB51" s="56">
        <v>0.883</v>
      </c>
      <c r="AC51" s="56">
        <v>0.345</v>
      </c>
      <c r="AD51" s="56">
        <v>0.221</v>
      </c>
      <c r="AE51" s="56">
        <v>0.15</v>
      </c>
      <c r="AF51" s="56">
        <v>14.0</v>
      </c>
      <c r="AG51" s="56">
        <v>0.0</v>
      </c>
      <c r="AH51" s="56">
        <v>19.2</v>
      </c>
      <c r="AI51" s="56">
        <v>0.0</v>
      </c>
      <c r="AJ51" s="56">
        <v>0.27</v>
      </c>
      <c r="AK51" s="56">
        <v>0.0</v>
      </c>
      <c r="AL51" s="56">
        <v>0.0</v>
      </c>
      <c r="AM51" s="56">
        <v>8.9</v>
      </c>
      <c r="AN51" s="56">
        <v>30.0</v>
      </c>
      <c r="AO51" s="56">
        <v>0.71</v>
      </c>
      <c r="AP51" s="56">
        <v>18.0</v>
      </c>
      <c r="AQ51" s="56">
        <v>21.0</v>
      </c>
      <c r="AR51" s="56">
        <v>382.0</v>
      </c>
      <c r="AS51" s="56">
        <v>4.0</v>
      </c>
      <c r="AT51" s="56">
        <v>0.19</v>
      </c>
      <c r="AU51" s="56">
        <v>0.068</v>
      </c>
      <c r="AV51" s="56">
        <v>0.094</v>
      </c>
      <c r="AW51" s="56">
        <v>0.6</v>
      </c>
      <c r="AX51" s="56">
        <v>0.0</v>
      </c>
      <c r="AY51" s="56">
        <v>0.0</v>
      </c>
      <c r="AZ51" s="56">
        <v>0.0</v>
      </c>
      <c r="BA51" s="56">
        <v>0.0</v>
      </c>
      <c r="BB51" s="56">
        <v>17.0</v>
      </c>
      <c r="BC51" s="56">
        <v>0.0</v>
      </c>
      <c r="BD51" s="56">
        <v>0.0</v>
      </c>
      <c r="BE51" s="56">
        <v>0.0</v>
      </c>
      <c r="BF51" s="56">
        <v>0.0</v>
      </c>
      <c r="BG51" s="56">
        <v>1530.0</v>
      </c>
      <c r="BH51" s="56">
        <v>33.0</v>
      </c>
      <c r="BI51" s="56">
        <v>54.0</v>
      </c>
      <c r="BJ51" s="56">
        <v>51.0</v>
      </c>
      <c r="BK51" s="56">
        <v>94.0</v>
      </c>
      <c r="BL51" s="56">
        <v>71.0</v>
      </c>
      <c r="BM51" s="56">
        <v>15.0</v>
      </c>
      <c r="BN51" s="56">
        <v>56.0</v>
      </c>
      <c r="BO51" s="56">
        <v>60.0</v>
      </c>
      <c r="BP51" s="56">
        <v>35.0</v>
      </c>
      <c r="BQ51" s="56">
        <v>70.0</v>
      </c>
      <c r="BR51" s="56">
        <v>100.0</v>
      </c>
      <c r="BS51" s="56">
        <v>87.0</v>
      </c>
      <c r="BT51" s="56">
        <v>37.0</v>
      </c>
      <c r="BU51" s="56">
        <v>55.0</v>
      </c>
      <c r="BV51" s="56">
        <v>44.0</v>
      </c>
    </row>
    <row r="52" ht="15.75" customHeight="1">
      <c r="A52" s="53" t="s">
        <v>227</v>
      </c>
      <c r="B52" s="54" t="s">
        <v>228</v>
      </c>
      <c r="C52" s="53" t="s">
        <v>220</v>
      </c>
      <c r="D52" s="53" t="s">
        <v>229</v>
      </c>
      <c r="E52" s="55" t="s">
        <v>85</v>
      </c>
      <c r="F52" s="55">
        <v>100.0</v>
      </c>
      <c r="G52" s="56">
        <v>25.0</v>
      </c>
      <c r="H52" s="56">
        <v>0.6</v>
      </c>
      <c r="I52" s="56">
        <v>5.7</v>
      </c>
      <c r="J52" s="56">
        <v>0.3</v>
      </c>
      <c r="K52" s="56">
        <v>1.5</v>
      </c>
      <c r="L52" s="56">
        <v>0.0</v>
      </c>
      <c r="M52" s="56">
        <v>0.0</v>
      </c>
      <c r="N52" s="56">
        <v>0.0</v>
      </c>
      <c r="O52" s="56">
        <v>0.0</v>
      </c>
      <c r="P52" s="56">
        <v>0.0</v>
      </c>
      <c r="Q52" s="56">
        <v>0.0</v>
      </c>
      <c r="R52" s="56">
        <v>0.0</v>
      </c>
      <c r="S52" s="56">
        <v>0.0</v>
      </c>
      <c r="T52" s="56">
        <v>17.0</v>
      </c>
      <c r="U52" s="56">
        <v>103.0</v>
      </c>
      <c r="V52" s="56">
        <v>93.0</v>
      </c>
      <c r="W52" s="57">
        <v>32.0</v>
      </c>
      <c r="X52" s="56">
        <v>17.0</v>
      </c>
      <c r="Y52" s="56">
        <v>103.0</v>
      </c>
      <c r="Z52" s="56">
        <v>0.02</v>
      </c>
      <c r="AA52" s="56">
        <v>0.03</v>
      </c>
      <c r="AB52" s="56">
        <v>0.8</v>
      </c>
      <c r="AC52" s="56">
        <v>0.02</v>
      </c>
      <c r="AD52" s="56">
        <v>0.02</v>
      </c>
      <c r="AE52" s="56">
        <v>0.0</v>
      </c>
      <c r="AF52" s="56">
        <v>22.0</v>
      </c>
      <c r="AG52" s="56">
        <v>0.0</v>
      </c>
      <c r="AH52" s="56">
        <v>22.3</v>
      </c>
      <c r="AI52" s="56">
        <v>0.0</v>
      </c>
      <c r="AJ52" s="56">
        <v>0.0</v>
      </c>
      <c r="AK52" s="56">
        <v>0.0</v>
      </c>
      <c r="AL52" s="56">
        <v>0.0</v>
      </c>
      <c r="AM52" s="56">
        <v>0.0</v>
      </c>
      <c r="AN52" s="56">
        <v>29.0</v>
      </c>
      <c r="AO52" s="56">
        <v>0.07</v>
      </c>
      <c r="AP52" s="56">
        <v>5.0</v>
      </c>
      <c r="AQ52" s="56">
        <v>8.0</v>
      </c>
      <c r="AR52" s="56">
        <v>123.0</v>
      </c>
      <c r="AS52" s="56">
        <v>0.0</v>
      </c>
      <c r="AT52" s="56">
        <v>0.06</v>
      </c>
      <c r="AU52" s="56">
        <v>0.016</v>
      </c>
      <c r="AV52" s="56">
        <v>0.029</v>
      </c>
      <c r="AW52" s="56">
        <v>0.6</v>
      </c>
      <c r="AX52" s="56">
        <v>0.0</v>
      </c>
      <c r="AY52" s="56">
        <v>0.0</v>
      </c>
      <c r="AZ52" s="56">
        <v>0.0</v>
      </c>
      <c r="BA52" s="56">
        <v>0.0</v>
      </c>
      <c r="BB52" s="56">
        <v>0.0</v>
      </c>
      <c r="BC52" s="56">
        <v>0.0</v>
      </c>
      <c r="BD52" s="56">
        <v>0.0</v>
      </c>
      <c r="BE52" s="56">
        <v>0.0</v>
      </c>
      <c r="BF52" s="56">
        <v>0.0</v>
      </c>
      <c r="BG52" s="56">
        <v>1285.0</v>
      </c>
      <c r="BH52" s="56">
        <v>0.0</v>
      </c>
      <c r="BI52" s="56">
        <v>0.0</v>
      </c>
      <c r="BJ52" s="56">
        <v>0.0</v>
      </c>
      <c r="BK52" s="56">
        <v>0.0</v>
      </c>
      <c r="BL52" s="56">
        <v>0.0</v>
      </c>
      <c r="BM52" s="56">
        <v>0.0</v>
      </c>
      <c r="BN52" s="56">
        <v>0.0</v>
      </c>
      <c r="BO52" s="56">
        <v>0.0</v>
      </c>
      <c r="BP52" s="56">
        <v>0.0</v>
      </c>
      <c r="BQ52" s="56">
        <v>0.0</v>
      </c>
      <c r="BR52" s="56">
        <v>0.0</v>
      </c>
      <c r="BS52" s="56">
        <v>0.0</v>
      </c>
      <c r="BT52" s="56">
        <v>0.0</v>
      </c>
      <c r="BU52" s="56">
        <v>0.0</v>
      </c>
      <c r="BV52" s="56">
        <v>0.0</v>
      </c>
    </row>
    <row r="53" ht="15.75" customHeight="1">
      <c r="A53" s="53" t="s">
        <v>230</v>
      </c>
      <c r="B53" s="54" t="s">
        <v>231</v>
      </c>
      <c r="C53" s="53" t="s">
        <v>220</v>
      </c>
      <c r="D53" s="53" t="s">
        <v>178</v>
      </c>
      <c r="E53" s="55" t="s">
        <v>85</v>
      </c>
      <c r="F53" s="55">
        <v>100.0</v>
      </c>
      <c r="G53" s="56">
        <v>43.0</v>
      </c>
      <c r="H53" s="56">
        <v>1.44</v>
      </c>
      <c r="I53" s="56">
        <v>9.8</v>
      </c>
      <c r="J53" s="56">
        <v>0.39</v>
      </c>
      <c r="K53" s="56">
        <v>1.7</v>
      </c>
      <c r="L53" s="56">
        <v>8.1</v>
      </c>
      <c r="M53" s="56">
        <v>0.0</v>
      </c>
      <c r="N53" s="56">
        <v>6.0</v>
      </c>
      <c r="O53" s="56">
        <v>5.9</v>
      </c>
      <c r="P53" s="56">
        <v>0.2</v>
      </c>
      <c r="Q53" s="56">
        <v>0.03</v>
      </c>
      <c r="R53" s="56">
        <v>0.04</v>
      </c>
      <c r="S53" s="56">
        <v>0.21</v>
      </c>
      <c r="T53" s="56">
        <v>1.0</v>
      </c>
      <c r="U53" s="56">
        <v>9.0</v>
      </c>
      <c r="V53" s="56">
        <v>88.0</v>
      </c>
      <c r="W53" s="57">
        <v>53.0</v>
      </c>
      <c r="X53" s="56">
        <v>1.0</v>
      </c>
      <c r="Y53" s="56">
        <v>9.0</v>
      </c>
      <c r="Z53" s="56">
        <v>0.029</v>
      </c>
      <c r="AA53" s="56">
        <v>0.101</v>
      </c>
      <c r="AB53" s="56">
        <v>0.62</v>
      </c>
      <c r="AC53" s="56">
        <v>0.049</v>
      </c>
      <c r="AD53" s="56">
        <v>0.05</v>
      </c>
      <c r="AE53" s="56">
        <v>0.1</v>
      </c>
      <c r="AF53" s="56">
        <v>6.0</v>
      </c>
      <c r="AG53" s="56">
        <v>0.0</v>
      </c>
      <c r="AH53" s="56">
        <v>36.4</v>
      </c>
      <c r="AI53" s="56">
        <v>0.0</v>
      </c>
      <c r="AJ53" s="56">
        <v>0.87</v>
      </c>
      <c r="AK53" s="56">
        <v>7.8</v>
      </c>
      <c r="AL53" s="56">
        <v>0.0</v>
      </c>
      <c r="AM53" s="56">
        <v>12.3</v>
      </c>
      <c r="AN53" s="56">
        <v>39.0</v>
      </c>
      <c r="AO53" s="56">
        <v>1.85</v>
      </c>
      <c r="AP53" s="56">
        <v>18.0</v>
      </c>
      <c r="AQ53" s="56">
        <v>38.0</v>
      </c>
      <c r="AR53" s="56">
        <v>194.0</v>
      </c>
      <c r="AS53" s="56">
        <v>10.0</v>
      </c>
      <c r="AT53" s="56">
        <v>0.12</v>
      </c>
      <c r="AU53" s="56">
        <v>0.06</v>
      </c>
      <c r="AV53" s="56">
        <v>0.048</v>
      </c>
      <c r="AW53" s="56">
        <v>0.6</v>
      </c>
      <c r="AX53" s="56">
        <v>0.0</v>
      </c>
      <c r="AY53" s="56">
        <v>0.0</v>
      </c>
      <c r="AZ53" s="56">
        <v>0.0</v>
      </c>
      <c r="BA53" s="56">
        <v>0.0</v>
      </c>
      <c r="BB53" s="56">
        <v>136.0</v>
      </c>
      <c r="BC53" s="56">
        <v>0.0</v>
      </c>
      <c r="BD53" s="56">
        <v>0.0</v>
      </c>
      <c r="BE53" s="56">
        <v>0.0</v>
      </c>
      <c r="BF53" s="56">
        <v>1.0</v>
      </c>
      <c r="BG53" s="56">
        <v>6218.0</v>
      </c>
      <c r="BH53" s="56">
        <v>13.0</v>
      </c>
      <c r="BI53" s="56">
        <v>19.0</v>
      </c>
      <c r="BJ53" s="56">
        <v>20.0</v>
      </c>
      <c r="BK53" s="56">
        <v>37.0</v>
      </c>
      <c r="BL53" s="56">
        <v>33.0</v>
      </c>
      <c r="BM53" s="56">
        <v>8.0</v>
      </c>
      <c r="BN53" s="56">
        <v>25.0</v>
      </c>
      <c r="BO53" s="56">
        <v>26.0</v>
      </c>
      <c r="BP53" s="56">
        <v>14.0</v>
      </c>
      <c r="BQ53" s="56">
        <v>17.0</v>
      </c>
      <c r="BR53" s="56">
        <v>79.0</v>
      </c>
      <c r="BS53" s="56">
        <v>60.0</v>
      </c>
      <c r="BT53" s="56">
        <v>26.0</v>
      </c>
      <c r="BU53" s="56">
        <v>24.0</v>
      </c>
      <c r="BV53" s="56">
        <v>23.0</v>
      </c>
    </row>
    <row r="54" ht="15.75" customHeight="1">
      <c r="A54" s="53" t="s">
        <v>232</v>
      </c>
      <c r="B54" s="54" t="s">
        <v>233</v>
      </c>
      <c r="C54" s="53" t="s">
        <v>220</v>
      </c>
      <c r="D54" s="53" t="s">
        <v>234</v>
      </c>
      <c r="E54" s="55" t="s">
        <v>85</v>
      </c>
      <c r="F54" s="55">
        <v>100.0</v>
      </c>
      <c r="G54" s="56">
        <v>98.0</v>
      </c>
      <c r="H54" s="56">
        <v>6.6</v>
      </c>
      <c r="I54" s="56">
        <v>18.4</v>
      </c>
      <c r="J54" s="56">
        <v>0.4</v>
      </c>
      <c r="K54" s="56">
        <v>1.5</v>
      </c>
      <c r="L54" s="56">
        <v>0.0</v>
      </c>
      <c r="M54" s="56">
        <v>0.0</v>
      </c>
      <c r="N54" s="56">
        <v>0.0</v>
      </c>
      <c r="O54" s="56">
        <v>0.0</v>
      </c>
      <c r="P54" s="56">
        <v>0.0</v>
      </c>
      <c r="Q54" s="56">
        <v>0.1</v>
      </c>
      <c r="R54" s="56">
        <v>0.1</v>
      </c>
      <c r="S54" s="56">
        <v>0.2</v>
      </c>
      <c r="T54" s="56">
        <v>0.0</v>
      </c>
      <c r="U54" s="56">
        <v>0.0</v>
      </c>
      <c r="V54" s="56">
        <v>70.0</v>
      </c>
      <c r="W54" s="57">
        <v>65.0</v>
      </c>
      <c r="X54" s="56">
        <v>0.0</v>
      </c>
      <c r="Y54" s="56">
        <v>0.0</v>
      </c>
      <c r="Z54" s="56">
        <v>0.3</v>
      </c>
      <c r="AA54" s="56">
        <v>0.11</v>
      </c>
      <c r="AB54" s="56">
        <v>4.0</v>
      </c>
      <c r="AC54" s="56">
        <v>0.27</v>
      </c>
      <c r="AD54" s="56">
        <v>0.63</v>
      </c>
      <c r="AE54" s="56">
        <v>0.0</v>
      </c>
      <c r="AF54" s="56">
        <v>14.0</v>
      </c>
      <c r="AG54" s="56">
        <v>0.0</v>
      </c>
      <c r="AH54" s="56">
        <v>0.0</v>
      </c>
      <c r="AI54" s="56">
        <v>0.0</v>
      </c>
      <c r="AJ54" s="56">
        <v>0.0</v>
      </c>
      <c r="AK54" s="56">
        <v>0.0</v>
      </c>
      <c r="AL54" s="56">
        <v>0.0</v>
      </c>
      <c r="AM54" s="56">
        <v>0.0</v>
      </c>
      <c r="AN54" s="56">
        <v>50.0</v>
      </c>
      <c r="AO54" s="56">
        <v>1.5</v>
      </c>
      <c r="AP54" s="56">
        <v>54.0</v>
      </c>
      <c r="AQ54" s="56">
        <v>150.0</v>
      </c>
      <c r="AR54" s="56">
        <v>246.0</v>
      </c>
      <c r="AS54" s="56">
        <v>2.0</v>
      </c>
      <c r="AT54" s="56">
        <v>0.9</v>
      </c>
      <c r="AU54" s="56">
        <v>0.29</v>
      </c>
      <c r="AV54" s="56">
        <v>0.12</v>
      </c>
      <c r="AW54" s="56">
        <v>0.0</v>
      </c>
      <c r="AX54" s="56">
        <v>0.0</v>
      </c>
      <c r="AY54" s="56">
        <v>0.0</v>
      </c>
      <c r="AZ54" s="56">
        <v>0.0</v>
      </c>
      <c r="BA54" s="56">
        <v>0.0</v>
      </c>
      <c r="BB54" s="56">
        <v>0.0</v>
      </c>
      <c r="BC54" s="56">
        <v>0.0</v>
      </c>
      <c r="BD54" s="56">
        <v>0.0</v>
      </c>
      <c r="BE54" s="56">
        <v>0.0</v>
      </c>
      <c r="BF54" s="56">
        <v>0.0</v>
      </c>
      <c r="BG54" s="56">
        <v>0.0</v>
      </c>
      <c r="BH54" s="56">
        <v>42.0</v>
      </c>
      <c r="BI54" s="56">
        <v>65.0</v>
      </c>
      <c r="BJ54" s="56">
        <v>82.0</v>
      </c>
      <c r="BK54" s="56">
        <v>122.0</v>
      </c>
      <c r="BL54" s="56">
        <v>90.0</v>
      </c>
      <c r="BM54" s="56">
        <v>25.0</v>
      </c>
      <c r="BN54" s="56">
        <v>85.0</v>
      </c>
      <c r="BO54" s="56">
        <v>100.0</v>
      </c>
      <c r="BP54" s="56">
        <v>45.0</v>
      </c>
      <c r="BQ54" s="56">
        <v>68.0</v>
      </c>
      <c r="BR54" s="56">
        <v>123.0</v>
      </c>
      <c r="BS54" s="56">
        <v>100.0</v>
      </c>
      <c r="BT54" s="56">
        <v>50.0</v>
      </c>
      <c r="BU54" s="56">
        <v>72.0</v>
      </c>
      <c r="BV54" s="56">
        <v>65.0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BV$54"/>
  <mergeCells count="7">
    <mergeCell ref="A1:BV1"/>
    <mergeCell ref="A2:F2"/>
    <mergeCell ref="G2:W2"/>
    <mergeCell ref="X2:AN2"/>
    <mergeCell ref="AO2:BA2"/>
    <mergeCell ref="BB2:BH2"/>
    <mergeCell ref="BI2:BV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4" width="14.0"/>
    <col customWidth="1" min="5" max="26" width="8.71"/>
  </cols>
  <sheetData>
    <row r="1">
      <c r="A1" s="58" t="s">
        <v>235</v>
      </c>
      <c r="B1" s="2"/>
      <c r="C1" s="2"/>
      <c r="D1" s="3"/>
    </row>
    <row r="2">
      <c r="A2" s="59" t="s">
        <v>9</v>
      </c>
      <c r="B2" s="59" t="s">
        <v>236</v>
      </c>
      <c r="C2" s="59" t="s">
        <v>237</v>
      </c>
      <c r="D2" s="59" t="s">
        <v>238</v>
      </c>
    </row>
    <row r="3" ht="19.5" customHeight="1">
      <c r="A3" s="60" t="s">
        <v>239</v>
      </c>
      <c r="B3" s="61" t="str">
        <f t="array" ref="B3">INDEX(Fruits_DB!$B$4:$B$54,MATCH(MAX(Fruits_DB!$AM$4:$AM$54),Fruits_DB!$AM$4:$AM$54,0))</f>
        <v>Avocado</v>
      </c>
      <c r="C3" s="62">
        <f>MAX(Fruits_DB!$AM$4:$AM$54)</f>
        <v>14.2</v>
      </c>
      <c r="D3" s="63" t="s">
        <v>240</v>
      </c>
    </row>
    <row r="4" ht="19.5" customHeight="1">
      <c r="A4" s="64" t="s">
        <v>241</v>
      </c>
      <c r="B4" s="65" t="str">
        <f t="array" ref="B4">INDEX(Fruits_DB!$B$4:$B$54,MATCH(MIN(Fruits_DB!$G$4:$G$54),Fruits_DB!$G$4:$G$54,0))</f>
        <v>Jamrool (Rose Apple)</v>
      </c>
      <c r="C4" s="66">
        <f>MIN(Fruits_DB!$G$4:$G$54)</f>
        <v>25</v>
      </c>
      <c r="D4" s="67" t="s">
        <v>242</v>
      </c>
    </row>
    <row r="5" ht="19.5" customHeight="1">
      <c r="A5" s="60" t="s">
        <v>243</v>
      </c>
      <c r="B5" s="61" t="str">
        <f t="array" ref="B5">INDEX(Fruits_DB!$B$4:$B$54,MATCH(MAX(Fruits_DB!$G$4:$G$54),Fruits_DB!$G$4:$G$54,0))</f>
        <v>Coconut (fresh)</v>
      </c>
      <c r="C5" s="62">
        <f>MAX(Fruits_DB!$G$4:$G$54)</f>
        <v>354</v>
      </c>
      <c r="D5" s="63" t="s">
        <v>242</v>
      </c>
    </row>
    <row r="6" ht="19.5" customHeight="1">
      <c r="A6" s="64" t="s">
        <v>244</v>
      </c>
      <c r="B6" s="65" t="str">
        <f t="array" ref="B6">INDEX(Fruits_DB!$B$4:$B$54,MATCH(MAX(Fruits_DB!$K$4:$K$54),Fruits_DB!$K$4:$K$54,0))</f>
        <v>Passion Fruit</v>
      </c>
      <c r="C6" s="66">
        <f>MAX(Fruits_DB!$K$4:$K$54)</f>
        <v>10.4</v>
      </c>
      <c r="D6" s="67" t="s">
        <v>245</v>
      </c>
    </row>
    <row r="7" ht="19.5" customHeight="1">
      <c r="A7" s="60" t="s">
        <v>246</v>
      </c>
      <c r="B7" s="61" t="str">
        <f t="array" ref="B7">INDEX(Fruits_DB!$B$4:$B$54,MATCH(MAX(Fruits_DB!$H$4:$H$54),Fruits_DB!$H$4:$H$54,0))</f>
        <v>Jackfruit Seeds</v>
      </c>
      <c r="C7" s="62">
        <f>MAX(Fruits_DB!$H$4:$H$54)</f>
        <v>6.6</v>
      </c>
      <c r="D7" s="63" t="s">
        <v>245</v>
      </c>
    </row>
    <row r="8" ht="19.5" customHeight="1">
      <c r="A8" s="64" t="s">
        <v>247</v>
      </c>
      <c r="B8" s="65" t="str">
        <f t="array" ref="B8">INDEX(Fruits_DB!$B$4:$B$54,MATCH(MAX(Fruits_DB!$AS$4:$AS$54),Fruits_DB!$AS$4:$AS$54,0))</f>
        <v>Passion Fruit</v>
      </c>
      <c r="C8" s="66">
        <f>MAX(Fruits_DB!$AS$4:$AS$54)</f>
        <v>28</v>
      </c>
      <c r="D8" s="67" t="s">
        <v>240</v>
      </c>
    </row>
    <row r="9" ht="19.5" customHeight="1">
      <c r="A9" s="60" t="s">
        <v>248</v>
      </c>
      <c r="B9" s="61" t="str">
        <f t="array" ref="B9">INDEX(Fruits_DB!$B$4:$B$54,MATCH(MAX(Fruits_DB!$AP$4:$AP$54),Fruits_DB!$AP$4:$AP$54,0))</f>
        <v>Tamarind</v>
      </c>
      <c r="C9" s="62">
        <f>MAX(Fruits_DB!$AP$4:$AP$54)</f>
        <v>92</v>
      </c>
      <c r="D9" s="63" t="s">
        <v>240</v>
      </c>
    </row>
    <row r="10" ht="19.5" customHeight="1">
      <c r="A10" s="64" t="s">
        <v>249</v>
      </c>
      <c r="B10" s="65" t="str">
        <f t="array" ref="B10">INDEX(Fruits_DB!$B$4:$B$54,MATCH(MAX(Fruits_DB!$L$4:$L$54),Fruits_DB!$L$4:$L$54,0))</f>
        <v>Date (Fresh Medjool)</v>
      </c>
      <c r="C10" s="66">
        <f>MAX(Fruits_DB!$L$4:$L$54)</f>
        <v>66.47</v>
      </c>
      <c r="D10" s="67" t="s">
        <v>245</v>
      </c>
    </row>
    <row r="11" ht="19.5" customHeight="1">
      <c r="A11" s="60" t="s">
        <v>250</v>
      </c>
      <c r="B11" s="61" t="str">
        <f t="array" ref="B11">INDEX(Fruits_DB!$B$4:$B$54,MATCH(MIN(Fruits_DB!$L$4:$L$54),Fruits_DB!$L$4:$L$54,0))</f>
        <v>Amla (Indian Gooseberry)</v>
      </c>
      <c r="C11" s="62">
        <f>MIN(Fruits_DB!$L$4:$L$54)</f>
        <v>0</v>
      </c>
      <c r="D11" s="63" t="s">
        <v>245</v>
      </c>
    </row>
    <row r="12" ht="19.5" customHeight="1">
      <c r="A12" s="64" t="s">
        <v>251</v>
      </c>
      <c r="B12" s="65" t="str">
        <f t="array" ref="B12">INDEX(Fruits_DB!$B$4:$B$54,MATCH(MAX(Fruits_DB!$BE$4:$BE$54),Fruits_DB!$BE$4:$BE$54,0))</f>
        <v>Grapes (Black)</v>
      </c>
      <c r="C12" s="66">
        <f>MAX(Fruits_DB!$BE$4:$BE$54)</f>
        <v>1.2</v>
      </c>
      <c r="D12" s="67" t="s">
        <v>252</v>
      </c>
    </row>
    <row r="13" ht="19.5" customHeight="1">
      <c r="A13" s="60" t="s">
        <v>253</v>
      </c>
      <c r="B13" s="61" t="str">
        <f t="array" ref="B13">INDEX(Fruits_DB!$B$4:$B$54,MATCH(MAX(Fruits_DB!$X$4:$X$54),Fruits_DB!$X$4:$X$54,0))</f>
        <v>Apricot (Dried)</v>
      </c>
      <c r="C13" s="62">
        <f>MAX(Fruits_DB!$X$4:$X$54)</f>
        <v>180</v>
      </c>
      <c r="D13" s="63" t="s">
        <v>254</v>
      </c>
    </row>
    <row r="14" ht="19.5" customHeight="1">
      <c r="A14" s="64" t="s">
        <v>255</v>
      </c>
      <c r="B14" s="65" t="str">
        <f t="array" ref="B14">INDEX(Fruits_DB!$B$4:$B$54,MATCH(MIN(IF(Fruits_DB!$W$4:$W$54&gt;0,Fruits_DB!$W$4:$W$54,9999)),IF(Fruits_DB!$W$4:$W$54&gt;0,Fruits_DB!$W$4:$W$54,9999),0))</f>
        <v>Guava</v>
      </c>
      <c r="C14" s="67" t="s">
        <v>256</v>
      </c>
      <c r="D14" s="67" t="s">
        <v>257</v>
      </c>
    </row>
    <row r="15" ht="19.5" customHeight="1">
      <c r="A15" s="60" t="s">
        <v>258</v>
      </c>
      <c r="B15" s="61" t="str">
        <f t="array" ref="B15">INDEX(Fruits_DB!$B$4:$B$54,MATCH(MAX(Fruits_DB!$AO$4:$AO$54),Fruits_DB!$AO$4:$AO$54,0))</f>
        <v>Apricot (Dried)</v>
      </c>
      <c r="C15" s="62">
        <f>MAX(Fruits_DB!$AO$4:$AO$54)</f>
        <v>6.31</v>
      </c>
      <c r="D15" s="63" t="s">
        <v>240</v>
      </c>
    </row>
    <row r="16" ht="19.5" customHeight="1">
      <c r="A16" s="64" t="s">
        <v>259</v>
      </c>
      <c r="B16" s="65" t="str">
        <f t="array" ref="B16">INDEX(Fruits_DB!$B$4:$B$54,MATCH(MAX(Fruits_DB!$AQ$4:$AQ$54),Fruits_DB!$AQ$4:$AQ$54,0))</f>
        <v>Jackfruit Seeds</v>
      </c>
      <c r="C16" s="66">
        <f>MAX(Fruits_DB!$AQ$4:$AQ$54)</f>
        <v>150</v>
      </c>
      <c r="D16" s="67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2026-04-27T08:58:54Z</dcterms:created>
  <dc:creator>openpyxl</dc:creator>
</cp:coreProperties>
</file>